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ork\ya.practicum\solution-architect\ya.solution-architecture-tasks\sprint-9\Task2\"/>
    </mc:Choice>
  </mc:AlternateContent>
  <xr:revisionPtr revIDLastSave="0" documentId="13_ncr:1_{031ABB52-0289-4D61-9832-BA4BAD31B74E}" xr6:coauthVersionLast="47" xr6:coauthVersionMax="47" xr10:uidLastSave="{00000000-0000-0000-0000-000000000000}"/>
  <bookViews>
    <workbookView xWindow="-105" yWindow="0" windowWidth="19410" windowHeight="20985" activeTab="4" xr2:uid="{00000000-000D-0000-FFFF-FFFF00000000}"/>
  </bookViews>
  <sheets>
    <sheet name="Инструкция" sheetId="1" r:id="rId1"/>
    <sheet name="Допущения" sheetId="2" r:id="rId2"/>
    <sheet name="TCO-A" sheetId="3" r:id="rId3"/>
    <sheet name="TCO-B" sheetId="4" r:id="rId4"/>
    <sheet name="TCO-C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s1gNHq3pXRMNuR9zTBGmXgJKbQ3SM3fGus9ppFAMrRg="/>
    </ext>
  </extLst>
</workbook>
</file>

<file path=xl/calcChain.xml><?xml version="1.0" encoding="utf-8"?>
<calcChain xmlns="http://schemas.openxmlformats.org/spreadsheetml/2006/main">
  <c r="D30" i="5" l="1"/>
  <c r="E30" i="5" s="1" a="1"/>
  <c r="E30" i="5" s="1"/>
  <c r="D30" i="4"/>
  <c r="H30" i="4" s="1" a="1"/>
  <c r="H30" i="4" s="1"/>
  <c r="I55" i="5"/>
  <c r="H55" i="5"/>
  <c r="G55" i="5"/>
  <c r="F55" i="5"/>
  <c r="E55" i="5"/>
  <c r="I53" i="5"/>
  <c r="H53" i="5"/>
  <c r="G53" i="5"/>
  <c r="F53" i="5"/>
  <c r="E53" i="5"/>
  <c r="I47" i="5" a="1"/>
  <c r="I47" i="5" s="1"/>
  <c r="H47" i="5" a="1"/>
  <c r="H47" i="5" s="1"/>
  <c r="G47" i="5" a="1"/>
  <c r="G47" i="5" s="1"/>
  <c r="J47" i="5" s="1"/>
  <c r="F47" i="5" a="1"/>
  <c r="F47" i="5"/>
  <c r="E47" i="5" a="1"/>
  <c r="E47" i="5" s="1"/>
  <c r="E46" i="5" a="1"/>
  <c r="E46" i="5" s="1"/>
  <c r="I45" i="5" a="1"/>
  <c r="I45" i="5"/>
  <c r="H45" i="5" a="1"/>
  <c r="H45" i="5" s="1"/>
  <c r="G45" i="5" a="1"/>
  <c r="G45" i="5"/>
  <c r="F45" i="5" a="1"/>
  <c r="F45" i="5" s="1"/>
  <c r="E45" i="5" a="1"/>
  <c r="E45" i="5"/>
  <c r="E44" i="5" a="1"/>
  <c r="E44" i="5"/>
  <c r="I43" i="5" a="1"/>
  <c r="I43" i="5" s="1"/>
  <c r="H43" i="5" a="1"/>
  <c r="H43" i="5"/>
  <c r="G43" i="5" a="1"/>
  <c r="G43" i="5" s="1"/>
  <c r="F43" i="5" a="1"/>
  <c r="F43" i="5"/>
  <c r="E43" i="5" a="1"/>
  <c r="E43" i="5" s="1"/>
  <c r="I39" i="5" a="1"/>
  <c r="I39" i="5"/>
  <c r="H39" i="5" a="1"/>
  <c r="H39" i="5" s="1"/>
  <c r="G39" i="5" a="1"/>
  <c r="G39" i="5"/>
  <c r="F39" i="5" a="1"/>
  <c r="F39" i="5" s="1"/>
  <c r="E39" i="5" a="1"/>
  <c r="E39" i="5"/>
  <c r="J39" i="5" s="1"/>
  <c r="E38" i="5" a="1"/>
  <c r="E38" i="5"/>
  <c r="E37" i="5" a="1"/>
  <c r="E37" i="5" s="1"/>
  <c r="E36" i="5" a="1"/>
  <c r="E36" i="5"/>
  <c r="E35" i="5" a="1"/>
  <c r="E35" i="5"/>
  <c r="I31" i="5" a="1"/>
  <c r="I31" i="5" s="1"/>
  <c r="H31" i="5" a="1"/>
  <c r="H31" i="5"/>
  <c r="G31" i="5" a="1"/>
  <c r="G31" i="5" s="1"/>
  <c r="F31" i="5" a="1"/>
  <c r="F31" i="5"/>
  <c r="E31" i="5" a="1"/>
  <c r="E31" i="5" s="1"/>
  <c r="H29" i="5" a="1"/>
  <c r="H29" i="5" s="1"/>
  <c r="E28" i="5" a="1"/>
  <c r="E28" i="5" s="1"/>
  <c r="I23" i="5" a="1"/>
  <c r="I23" i="5"/>
  <c r="H23" i="5" a="1"/>
  <c r="H23" i="5" s="1"/>
  <c r="G23" i="5" a="1"/>
  <c r="G23" i="5"/>
  <c r="F23" i="5" a="1"/>
  <c r="F23" i="5" s="1"/>
  <c r="E23" i="5" a="1"/>
  <c r="E23" i="5"/>
  <c r="F22" i="5" a="1"/>
  <c r="F22" i="5" s="1"/>
  <c r="E22" i="5" a="1"/>
  <c r="E22" i="5" s="1"/>
  <c r="E21" i="5" a="1"/>
  <c r="E21" i="5" s="1"/>
  <c r="E19" i="5" a="1"/>
  <c r="E19" i="5" s="1"/>
  <c r="I14" i="5" a="1"/>
  <c r="I14" i="5"/>
  <c r="H14" i="5" a="1"/>
  <c r="H14" i="5"/>
  <c r="G14" i="5" a="1"/>
  <c r="G14" i="5" s="1"/>
  <c r="F14" i="5" a="1"/>
  <c r="F14" i="5"/>
  <c r="E14" i="5" a="1"/>
  <c r="E14" i="5"/>
  <c r="E13" i="5" a="1"/>
  <c r="E13" i="5" s="1"/>
  <c r="I55" i="4"/>
  <c r="H55" i="4"/>
  <c r="G55" i="4"/>
  <c r="F55" i="4"/>
  <c r="E55" i="4"/>
  <c r="I53" i="4"/>
  <c r="H53" i="4"/>
  <c r="G53" i="4"/>
  <c r="F53" i="4"/>
  <c r="E53" i="4"/>
  <c r="J53" i="4" s="1"/>
  <c r="I47" i="4" a="1"/>
  <c r="I47" i="4"/>
  <c r="H47" i="4" a="1"/>
  <c r="H47" i="4"/>
  <c r="G47" i="4" a="1"/>
  <c r="G47" i="4" s="1"/>
  <c r="F47" i="4" a="1"/>
  <c r="F47" i="4" s="1"/>
  <c r="E47" i="4" a="1"/>
  <c r="E47" i="4"/>
  <c r="E46" i="4" a="1"/>
  <c r="E46" i="4" s="1"/>
  <c r="I45" i="4" a="1"/>
  <c r="I45" i="4" s="1"/>
  <c r="H45" i="4" a="1"/>
  <c r="H45" i="4"/>
  <c r="G45" i="4" a="1"/>
  <c r="G45" i="4" s="1"/>
  <c r="F45" i="4" a="1"/>
  <c r="F45" i="4" s="1"/>
  <c r="E45" i="4" a="1"/>
  <c r="E45" i="4" s="1"/>
  <c r="J45" i="4" s="1"/>
  <c r="E44" i="4" a="1"/>
  <c r="E44" i="4"/>
  <c r="I43" i="4" a="1"/>
  <c r="I43" i="4" s="1"/>
  <c r="H43" i="4" a="1"/>
  <c r="H43" i="4" s="1"/>
  <c r="G43" i="4" a="1"/>
  <c r="G43" i="4"/>
  <c r="F43" i="4" a="1"/>
  <c r="F43" i="4"/>
  <c r="E43" i="4" a="1"/>
  <c r="E43" i="4" s="1"/>
  <c r="J43" i="4" s="1"/>
  <c r="I39" i="4" a="1"/>
  <c r="I39" i="4" s="1"/>
  <c r="H39" i="4" a="1"/>
  <c r="H39" i="4"/>
  <c r="G39" i="4" a="1"/>
  <c r="G39" i="4"/>
  <c r="F39" i="4" a="1"/>
  <c r="F39" i="4" s="1"/>
  <c r="E39" i="4" a="1"/>
  <c r="E39" i="4" s="1"/>
  <c r="E38" i="4" a="1"/>
  <c r="E38" i="4"/>
  <c r="E37" i="4" a="1"/>
  <c r="E37" i="4" s="1"/>
  <c r="E36" i="4" a="1"/>
  <c r="E36" i="4" s="1"/>
  <c r="E35" i="4" a="1"/>
  <c r="E35" i="4"/>
  <c r="E40" i="4" s="1"/>
  <c r="I31" i="4" a="1"/>
  <c r="I31" i="4" s="1"/>
  <c r="H31" i="4" a="1"/>
  <c r="H31" i="4"/>
  <c r="G31" i="4" a="1"/>
  <c r="G31" i="4"/>
  <c r="F31" i="4" a="1"/>
  <c r="F31" i="4"/>
  <c r="E31" i="4" a="1"/>
  <c r="E31" i="4" s="1"/>
  <c r="I29" i="4" a="1"/>
  <c r="I29" i="4" s="1"/>
  <c r="G29" i="4" a="1"/>
  <c r="G29" i="4" s="1"/>
  <c r="H29" i="4" a="1"/>
  <c r="H29" i="4" s="1"/>
  <c r="H28" i="4" a="1"/>
  <c r="H28" i="4" s="1"/>
  <c r="E28" i="4" a="1"/>
  <c r="E28" i="4" s="1"/>
  <c r="I23" i="4" a="1"/>
  <c r="I23" i="4" s="1"/>
  <c r="H23" i="4" a="1"/>
  <c r="H23" i="4"/>
  <c r="G23" i="4" a="1"/>
  <c r="G23" i="4"/>
  <c r="F23" i="4" a="1"/>
  <c r="F23" i="4" s="1"/>
  <c r="E23" i="4" a="1"/>
  <c r="E23" i="4" s="1"/>
  <c r="J23" i="4" s="1"/>
  <c r="F22" i="4" a="1"/>
  <c r="F22" i="4" s="1"/>
  <c r="E22" i="4" a="1"/>
  <c r="E22" i="4" s="1"/>
  <c r="F21" i="4" a="1"/>
  <c r="F21" i="4" s="1"/>
  <c r="E21" i="4" a="1"/>
  <c r="E21" i="4" s="1"/>
  <c r="E19" i="4" a="1"/>
  <c r="E19" i="4" s="1"/>
  <c r="I14" i="4" a="1"/>
  <c r="I14" i="4" s="1"/>
  <c r="H14" i="4" a="1"/>
  <c r="H14" i="4"/>
  <c r="G14" i="4" a="1"/>
  <c r="G14" i="4" s="1"/>
  <c r="F14" i="4" a="1"/>
  <c r="F14" i="4"/>
  <c r="J14" i="4" s="1"/>
  <c r="E14" i="4" a="1"/>
  <c r="E14" i="4" s="1"/>
  <c r="E13" i="4" a="1"/>
  <c r="E13" i="4" s="1"/>
  <c r="I12" i="4" a="1"/>
  <c r="I12" i="4" s="1"/>
  <c r="E12" i="4" a="1"/>
  <c r="E12" i="4" s="1"/>
  <c r="F11" i="4" a="1"/>
  <c r="F11" i="4" s="1"/>
  <c r="H9" i="4" a="1"/>
  <c r="H9" i="4" s="1"/>
  <c r="F8" i="4" a="1"/>
  <c r="F8" i="4" s="1"/>
  <c r="I55" i="3"/>
  <c r="H55" i="3"/>
  <c r="G55" i="3"/>
  <c r="F55" i="3"/>
  <c r="E55" i="3"/>
  <c r="I53" i="3"/>
  <c r="H53" i="3"/>
  <c r="G53" i="3"/>
  <c r="F53" i="3"/>
  <c r="E53" i="3"/>
  <c r="J53" i="3" s="1"/>
  <c r="I47" i="3" a="1"/>
  <c r="I47" i="3" s="1"/>
  <c r="H47" i="3" a="1"/>
  <c r="H47" i="3" s="1"/>
  <c r="G47" i="3" a="1"/>
  <c r="G47" i="3"/>
  <c r="F47" i="3" a="1"/>
  <c r="F47" i="3" s="1"/>
  <c r="E47" i="3" a="1"/>
  <c r="E47" i="3" s="1"/>
  <c r="J47" i="3" s="1"/>
  <c r="E46" i="3" a="1"/>
  <c r="E46" i="3" s="1"/>
  <c r="I45" i="3" a="1"/>
  <c r="I45" i="3"/>
  <c r="H45" i="3" a="1"/>
  <c r="H45" i="3" s="1"/>
  <c r="G45" i="3" a="1"/>
  <c r="G45" i="3" s="1"/>
  <c r="F45" i="3" a="1"/>
  <c r="F45" i="3"/>
  <c r="E45" i="3" a="1"/>
  <c r="E45" i="3" s="1"/>
  <c r="J45" i="3" s="1"/>
  <c r="E44" i="3" a="1"/>
  <c r="E44" i="3"/>
  <c r="E48" i="3" s="1"/>
  <c r="I43" i="3" a="1"/>
  <c r="I43" i="3"/>
  <c r="H43" i="3" a="1"/>
  <c r="H43" i="3"/>
  <c r="J43" i="3" s="1"/>
  <c r="G43" i="3" a="1"/>
  <c r="G43" i="3" s="1"/>
  <c r="F43" i="3" a="1"/>
  <c r="F43" i="3"/>
  <c r="E43" i="3" a="1"/>
  <c r="E43" i="3"/>
  <c r="I39" i="3" a="1"/>
  <c r="I39" i="3"/>
  <c r="H39" i="3" a="1"/>
  <c r="H39" i="3" s="1"/>
  <c r="G39" i="3" a="1"/>
  <c r="G39" i="3"/>
  <c r="F39" i="3" a="1"/>
  <c r="F39" i="3" s="1"/>
  <c r="E39" i="3" a="1"/>
  <c r="E39" i="3" s="1"/>
  <c r="J39" i="3" s="1"/>
  <c r="E38" i="3" a="1"/>
  <c r="E38" i="3"/>
  <c r="F37" i="3" a="1"/>
  <c r="F37" i="3"/>
  <c r="E37" i="3" a="1"/>
  <c r="E37" i="3" s="1"/>
  <c r="E36" i="3" a="1"/>
  <c r="E36" i="3" s="1"/>
  <c r="E35" i="3" a="1"/>
  <c r="E35" i="3" s="1"/>
  <c r="I31" i="3" a="1"/>
  <c r="I31" i="3" s="1"/>
  <c r="H31" i="3" a="1"/>
  <c r="H31" i="3"/>
  <c r="G31" i="3" a="1"/>
  <c r="G31" i="3" s="1"/>
  <c r="F31" i="3" a="1"/>
  <c r="F31" i="3"/>
  <c r="E31" i="3" a="1"/>
  <c r="E31" i="3" s="1"/>
  <c r="J31" i="3" s="1"/>
  <c r="G30" i="3" a="1"/>
  <c r="G30" i="3" s="1"/>
  <c r="D30" i="3"/>
  <c r="H30" i="3" s="1" a="1"/>
  <c r="H30" i="3" s="1"/>
  <c r="G29" i="3" a="1"/>
  <c r="G29" i="3" s="1"/>
  <c r="I28" i="3" a="1"/>
  <c r="I28" i="3" s="1"/>
  <c r="G28" i="3" a="1"/>
  <c r="G28" i="3" s="1"/>
  <c r="E28" i="3" a="1"/>
  <c r="E28" i="3" s="1"/>
  <c r="H28" i="3" a="1"/>
  <c r="H28" i="3" s="1"/>
  <c r="I23" i="3" a="1"/>
  <c r="I23" i="3" s="1"/>
  <c r="H23" i="3" a="1"/>
  <c r="H23" i="3" s="1"/>
  <c r="G23" i="3" a="1"/>
  <c r="G23" i="3"/>
  <c r="F23" i="3" a="1"/>
  <c r="F23" i="3" s="1"/>
  <c r="E23" i="3" a="1"/>
  <c r="E23" i="3"/>
  <c r="F22" i="3" a="1"/>
  <c r="F22" i="3" s="1"/>
  <c r="E22" i="3" a="1"/>
  <c r="E22" i="3"/>
  <c r="E21" i="3" a="1"/>
  <c r="E21" i="3" s="1"/>
  <c r="E19" i="3" a="1"/>
  <c r="E19" i="3" s="1"/>
  <c r="F18" i="3" a="1"/>
  <c r="F18" i="3" s="1"/>
  <c r="I14" i="3" a="1"/>
  <c r="I14" i="3" s="1"/>
  <c r="H14" i="3" a="1"/>
  <c r="H14" i="3"/>
  <c r="G14" i="3" a="1"/>
  <c r="G14" i="3" s="1"/>
  <c r="J14" i="3" s="1"/>
  <c r="F14" i="3" a="1"/>
  <c r="F14" i="3"/>
  <c r="E14" i="3" a="1"/>
  <c r="E14" i="3" s="1"/>
  <c r="E13" i="3" a="1"/>
  <c r="E13" i="3" s="1"/>
  <c r="H11" i="3" a="1"/>
  <c r="H11" i="3" s="1"/>
  <c r="F8" i="3" a="1"/>
  <c r="F8" i="3" s="1"/>
  <c r="F7" i="3" a="1"/>
  <c r="F7" i="3" s="1"/>
  <c r="F30" i="2"/>
  <c r="C30" i="2"/>
  <c r="G29" i="2"/>
  <c r="I30" i="3" s="1" a="1"/>
  <c r="I30" i="3" s="1"/>
  <c r="F29" i="2"/>
  <c r="E29" i="2"/>
  <c r="D29" i="2"/>
  <c r="F29" i="5" s="1" a="1"/>
  <c r="F29" i="5" s="1"/>
  <c r="C29" i="2"/>
  <c r="E30" i="3" s="1" a="1"/>
  <c r="E30" i="3" s="1"/>
  <c r="G28" i="2"/>
  <c r="I20" i="4" s="1" a="1"/>
  <c r="I20" i="4" s="1"/>
  <c r="F28" i="2"/>
  <c r="H11" i="4" s="1" a="1"/>
  <c r="H11" i="4" s="1"/>
  <c r="E28" i="2"/>
  <c r="G10" i="3" s="1" a="1"/>
  <c r="G10" i="3" s="1"/>
  <c r="D28" i="2"/>
  <c r="F18" i="4" s="1" a="1"/>
  <c r="F18" i="4" s="1"/>
  <c r="C28" i="2"/>
  <c r="E10" i="5" s="1" a="1"/>
  <c r="E10" i="5" s="1"/>
  <c r="E27" i="2"/>
  <c r="G36" i="4" s="1" a="1"/>
  <c r="G36" i="4" s="1"/>
  <c r="D27" i="2"/>
  <c r="F38" i="3" s="1" a="1"/>
  <c r="F38" i="3" s="1"/>
  <c r="E26" i="2"/>
  <c r="G19" i="3" s="1" a="1"/>
  <c r="G19" i="3" s="1"/>
  <c r="D26" i="2"/>
  <c r="F44" i="5" s="1" a="1"/>
  <c r="F44" i="5" s="1"/>
  <c r="G10" i="2"/>
  <c r="G30" i="2" s="1"/>
  <c r="F10" i="2"/>
  <c r="E10" i="2"/>
  <c r="E30" i="2" s="1"/>
  <c r="D10" i="2"/>
  <c r="C10" i="2"/>
  <c r="E40" i="3" l="1"/>
  <c r="F27" i="2"/>
  <c r="G21" i="5" a="1"/>
  <c r="G21" i="5" s="1"/>
  <c r="H7" i="3" a="1"/>
  <c r="H7" i="3" s="1"/>
  <c r="E9" i="3" a="1"/>
  <c r="E9" i="3" s="1"/>
  <c r="G13" i="3" a="1"/>
  <c r="G13" i="3" s="1"/>
  <c r="G35" i="3" a="1"/>
  <c r="G35" i="3" s="1"/>
  <c r="E7" i="4" a="1"/>
  <c r="E7" i="4" s="1"/>
  <c r="G38" i="4" a="1"/>
  <c r="G38" i="4" s="1"/>
  <c r="G36" i="5" a="1"/>
  <c r="G36" i="5" s="1"/>
  <c r="G46" i="4" a="1"/>
  <c r="G46" i="4" s="1"/>
  <c r="G48" i="4" s="1"/>
  <c r="G38" i="5" a="1"/>
  <c r="G38" i="5" s="1"/>
  <c r="G37" i="4" a="1"/>
  <c r="G37" i="4" s="1"/>
  <c r="G35" i="5" a="1"/>
  <c r="G35" i="5" s="1"/>
  <c r="G37" i="3" a="1"/>
  <c r="G37" i="3" s="1"/>
  <c r="G37" i="5" a="1"/>
  <c r="G37" i="5" s="1"/>
  <c r="G46" i="5" a="1"/>
  <c r="G46" i="5" s="1"/>
  <c r="G38" i="3" a="1"/>
  <c r="G38" i="3" s="1"/>
  <c r="E8" i="5" a="1"/>
  <c r="E8" i="5" s="1"/>
  <c r="E18" i="4" a="1"/>
  <c r="E18" i="4" s="1"/>
  <c r="E7" i="5" a="1"/>
  <c r="E7" i="5" s="1"/>
  <c r="E18" i="5" a="1"/>
  <c r="E18" i="5" s="1"/>
  <c r="E12" i="5" a="1"/>
  <c r="E12" i="5" s="1"/>
  <c r="E11" i="4" a="1"/>
  <c r="E11" i="4" s="1"/>
  <c r="E9" i="5" a="1"/>
  <c r="E9" i="5" s="1"/>
  <c r="E20" i="4" a="1"/>
  <c r="E20" i="4" s="1"/>
  <c r="E11" i="3" a="1"/>
  <c r="E11" i="3" s="1"/>
  <c r="E9" i="4" a="1"/>
  <c r="E9" i="4" s="1"/>
  <c r="E8" i="3" a="1"/>
  <c r="E8" i="3" s="1"/>
  <c r="E8" i="4" a="1"/>
  <c r="E8" i="4" s="1"/>
  <c r="E7" i="3" a="1"/>
  <c r="E7" i="3" s="1"/>
  <c r="E18" i="3" a="1"/>
  <c r="E18" i="3" s="1"/>
  <c r="E12" i="3" a="1"/>
  <c r="E12" i="3" s="1"/>
  <c r="F21" i="5" a="1"/>
  <c r="F21" i="5" s="1"/>
  <c r="F44" i="4" a="1"/>
  <c r="F44" i="4" s="1"/>
  <c r="F19" i="4" a="1"/>
  <c r="F19" i="4" s="1"/>
  <c r="F24" i="4" s="1"/>
  <c r="F13" i="4" a="1"/>
  <c r="F13" i="4" s="1"/>
  <c r="F19" i="3" a="1"/>
  <c r="F19" i="3" s="1"/>
  <c r="F13" i="3" a="1"/>
  <c r="F13" i="3" s="1"/>
  <c r="F19" i="5" a="1"/>
  <c r="F19" i="5" s="1"/>
  <c r="F13" i="5" a="1"/>
  <c r="F13" i="5" s="1"/>
  <c r="F10" i="5" a="1"/>
  <c r="F10" i="5" s="1"/>
  <c r="F7" i="5" a="1"/>
  <c r="F7" i="5" s="1"/>
  <c r="F20" i="4" a="1"/>
  <c r="F20" i="4" s="1"/>
  <c r="F18" i="5" a="1"/>
  <c r="F18" i="5" s="1"/>
  <c r="F9" i="5" a="1"/>
  <c r="F9" i="5" s="1"/>
  <c r="F20" i="5" a="1"/>
  <c r="F20" i="5" s="1"/>
  <c r="F11" i="5" a="1"/>
  <c r="F11" i="5" s="1"/>
  <c r="F12" i="4" a="1"/>
  <c r="F12" i="4" s="1"/>
  <c r="F10" i="3" a="1"/>
  <c r="F10" i="3" s="1"/>
  <c r="F12" i="5" a="1"/>
  <c r="F12" i="5" s="1"/>
  <c r="F8" i="5" a="1"/>
  <c r="F8" i="5" s="1"/>
  <c r="F10" i="4" a="1"/>
  <c r="F10" i="4" s="1"/>
  <c r="F9" i="3" a="1"/>
  <c r="F9" i="3" s="1"/>
  <c r="F7" i="4" a="1"/>
  <c r="F7" i="4" s="1"/>
  <c r="F20" i="3" a="1"/>
  <c r="F20" i="3" s="1"/>
  <c r="I29" i="5" a="1"/>
  <c r="I29" i="5" s="1"/>
  <c r="I30" i="5" a="1"/>
  <c r="I30" i="5" s="1"/>
  <c r="I28" i="5" a="1"/>
  <c r="I28" i="5" s="1"/>
  <c r="I10" i="3" a="1"/>
  <c r="I10" i="3" s="1"/>
  <c r="F12" i="3" a="1"/>
  <c r="F12" i="3" s="1"/>
  <c r="H18" i="3" a="1"/>
  <c r="H18" i="3" s="1"/>
  <c r="E20" i="3" a="1"/>
  <c r="E20" i="3" s="1"/>
  <c r="F21" i="3" a="1"/>
  <c r="F21" i="3" s="1"/>
  <c r="I29" i="3" a="1"/>
  <c r="I29" i="3" s="1"/>
  <c r="H8" i="4" a="1"/>
  <c r="H8" i="4" s="1"/>
  <c r="E10" i="4" a="1"/>
  <c r="E10" i="4" s="1"/>
  <c r="F48" i="4"/>
  <c r="E11" i="5" a="1"/>
  <c r="E11" i="5" s="1"/>
  <c r="G18" i="5" a="1"/>
  <c r="G18" i="5" s="1"/>
  <c r="G12" i="5" a="1"/>
  <c r="G12" i="5" s="1"/>
  <c r="G9" i="5" a="1"/>
  <c r="G9" i="5" s="1"/>
  <c r="G20" i="5" a="1"/>
  <c r="G20" i="5" s="1"/>
  <c r="G11" i="5" a="1"/>
  <c r="G11" i="5" s="1"/>
  <c r="G8" i="5" a="1"/>
  <c r="G8" i="5" s="1"/>
  <c r="G11" i="4" a="1"/>
  <c r="G11" i="4" s="1"/>
  <c r="G8" i="4" a="1"/>
  <c r="G8" i="4" s="1"/>
  <c r="G7" i="3" a="1"/>
  <c r="G7" i="3" s="1"/>
  <c r="G10" i="5" a="1"/>
  <c r="G10" i="5" s="1"/>
  <c r="J10" i="5" s="1"/>
  <c r="G18" i="3" a="1"/>
  <c r="G18" i="3" s="1"/>
  <c r="G12" i="3" a="1"/>
  <c r="G12" i="3" s="1"/>
  <c r="G11" i="3" a="1"/>
  <c r="G11" i="3" s="1"/>
  <c r="G20" i="4" a="1"/>
  <c r="G20" i="4" s="1"/>
  <c r="G18" i="4" a="1"/>
  <c r="G18" i="4" s="1"/>
  <c r="G9" i="4" a="1"/>
  <c r="G9" i="4" s="1"/>
  <c r="G8" i="3" a="1"/>
  <c r="G8" i="3" s="1"/>
  <c r="G44" i="4" a="1"/>
  <c r="G44" i="4" s="1"/>
  <c r="G22" i="4" a="1"/>
  <c r="G22" i="4" s="1"/>
  <c r="G44" i="5" a="1"/>
  <c r="G44" i="5" s="1"/>
  <c r="G22" i="5" a="1"/>
  <c r="G22" i="5" s="1"/>
  <c r="G21" i="4" a="1"/>
  <c r="G21" i="4" s="1"/>
  <c r="G19" i="5" a="1"/>
  <c r="G19" i="5" s="1"/>
  <c r="G13" i="5" a="1"/>
  <c r="G13" i="5" s="1"/>
  <c r="G21" i="3" a="1"/>
  <c r="G21" i="3" s="1"/>
  <c r="G19" i="4" a="1"/>
  <c r="G19" i="4" s="1"/>
  <c r="G13" i="4" a="1"/>
  <c r="G13" i="4" s="1"/>
  <c r="G44" i="3" a="1"/>
  <c r="G44" i="3" s="1"/>
  <c r="G22" i="3" a="1"/>
  <c r="G22" i="3" s="1"/>
  <c r="G9" i="3" a="1"/>
  <c r="G9" i="3" s="1"/>
  <c r="G7" i="4" a="1"/>
  <c r="G7" i="4" s="1"/>
  <c r="F26" i="2"/>
  <c r="H20" i="5" a="1"/>
  <c r="H20" i="5" s="1"/>
  <c r="H11" i="5" a="1"/>
  <c r="H11" i="5" s="1"/>
  <c r="H10" i="5" a="1"/>
  <c r="H10" i="5" s="1"/>
  <c r="H7" i="5" a="1"/>
  <c r="H7" i="5" s="1"/>
  <c r="H12" i="5" a="1"/>
  <c r="H12" i="5" s="1"/>
  <c r="H10" i="4" a="1"/>
  <c r="H10" i="4" s="1"/>
  <c r="H9" i="3" a="1"/>
  <c r="H9" i="3" s="1"/>
  <c r="H8" i="5" a="1"/>
  <c r="H8" i="5" s="1"/>
  <c r="H7" i="4" a="1"/>
  <c r="H7" i="4" s="1"/>
  <c r="H20" i="3" a="1"/>
  <c r="H20" i="3" s="1"/>
  <c r="H18" i="4" a="1"/>
  <c r="H18" i="4" s="1"/>
  <c r="H18" i="5" a="1"/>
  <c r="H18" i="5" s="1"/>
  <c r="H9" i="5" a="1"/>
  <c r="H9" i="5" s="1"/>
  <c r="H12" i="4" a="1"/>
  <c r="H12" i="4" s="1"/>
  <c r="H10" i="3" a="1"/>
  <c r="H10" i="3" s="1"/>
  <c r="H12" i="3" a="1"/>
  <c r="H12" i="3" s="1"/>
  <c r="G20" i="3" a="1"/>
  <c r="G20" i="3" s="1"/>
  <c r="J23" i="3"/>
  <c r="G10" i="4" a="1"/>
  <c r="G10" i="4" s="1"/>
  <c r="J53" i="5"/>
  <c r="I9" i="3" a="1"/>
  <c r="I9" i="3" s="1"/>
  <c r="F29" i="3" a="1"/>
  <c r="F29" i="3" s="1"/>
  <c r="G46" i="3" a="1"/>
  <c r="G46" i="3" s="1"/>
  <c r="I7" i="4" a="1"/>
  <c r="I7" i="4" s="1"/>
  <c r="F9" i="4" a="1"/>
  <c r="F9" i="4" s="1"/>
  <c r="F29" i="4" a="1"/>
  <c r="F29" i="4" s="1"/>
  <c r="I30" i="4" a="1"/>
  <c r="I30" i="4" s="1"/>
  <c r="G7" i="5" a="1"/>
  <c r="G7" i="5" s="1"/>
  <c r="E20" i="5" a="1"/>
  <c r="E20" i="5" s="1"/>
  <c r="J31" i="5"/>
  <c r="H20" i="4" a="1"/>
  <c r="H20" i="4" s="1"/>
  <c r="G35" i="4" a="1"/>
  <c r="G35" i="4" s="1"/>
  <c r="G40" i="4" s="1"/>
  <c r="E48" i="4"/>
  <c r="I8" i="5" a="1"/>
  <c r="I8" i="5" s="1"/>
  <c r="I18" i="4" a="1"/>
  <c r="I18" i="4" s="1"/>
  <c r="I7" i="5" a="1"/>
  <c r="I7" i="5" s="1"/>
  <c r="I18" i="5" a="1"/>
  <c r="I18" i="5" s="1"/>
  <c r="I12" i="5" a="1"/>
  <c r="I12" i="5" s="1"/>
  <c r="I11" i="4" a="1"/>
  <c r="I11" i="4" s="1"/>
  <c r="I9" i="5" a="1"/>
  <c r="I9" i="5" s="1"/>
  <c r="I10" i="5" a="1"/>
  <c r="I10" i="5" s="1"/>
  <c r="I11" i="3" a="1"/>
  <c r="I11" i="3" s="1"/>
  <c r="I9" i="4" a="1"/>
  <c r="I9" i="4" s="1"/>
  <c r="I8" i="3" a="1"/>
  <c r="I8" i="3" s="1"/>
  <c r="I11" i="5" a="1"/>
  <c r="I11" i="5" s="1"/>
  <c r="I8" i="4" a="1"/>
  <c r="I8" i="4" s="1"/>
  <c r="I7" i="3" a="1"/>
  <c r="I7" i="3" s="1"/>
  <c r="I20" i="5" a="1"/>
  <c r="I20" i="5" s="1"/>
  <c r="I18" i="3" a="1"/>
  <c r="I18" i="3" s="1"/>
  <c r="I12" i="3" a="1"/>
  <c r="I12" i="3" s="1"/>
  <c r="F11" i="3" a="1"/>
  <c r="F11" i="3" s="1"/>
  <c r="D30" i="2"/>
  <c r="F46" i="5" a="1"/>
  <c r="F46" i="5" s="1"/>
  <c r="F37" i="5" a="1"/>
  <c r="F37" i="5" s="1"/>
  <c r="F36" i="4" a="1"/>
  <c r="F36" i="4" s="1"/>
  <c r="F38" i="4" a="1"/>
  <c r="F38" i="4" s="1"/>
  <c r="F36" i="5" a="1"/>
  <c r="F36" i="5" s="1"/>
  <c r="F35" i="4" a="1"/>
  <c r="F35" i="4" s="1"/>
  <c r="F40" i="4" s="1"/>
  <c r="F46" i="4" a="1"/>
  <c r="F46" i="4" s="1"/>
  <c r="F35" i="5" a="1"/>
  <c r="F35" i="5" s="1"/>
  <c r="F35" i="3" a="1"/>
  <c r="F35" i="3" s="1"/>
  <c r="F40" i="3" s="1"/>
  <c r="F46" i="3" a="1"/>
  <c r="F46" i="3" s="1"/>
  <c r="F38" i="5" a="1"/>
  <c r="F38" i="5" s="1"/>
  <c r="F37" i="4" a="1"/>
  <c r="F37" i="4" s="1"/>
  <c r="F36" i="3" a="1"/>
  <c r="F36" i="3" s="1"/>
  <c r="E29" i="5" a="1"/>
  <c r="E29" i="5" s="1"/>
  <c r="E29" i="4" a="1"/>
  <c r="E29" i="4" s="1"/>
  <c r="H8" i="3" a="1"/>
  <c r="H8" i="3" s="1"/>
  <c r="E10" i="3" a="1"/>
  <c r="E10" i="3" s="1"/>
  <c r="J10" i="3" s="1"/>
  <c r="I20" i="3" a="1"/>
  <c r="I20" i="3" s="1"/>
  <c r="E29" i="3" a="1"/>
  <c r="E29" i="3" s="1"/>
  <c r="G36" i="3" a="1"/>
  <c r="G36" i="3" s="1"/>
  <c r="G48" i="3"/>
  <c r="F44" i="3" a="1"/>
  <c r="F44" i="3" s="1"/>
  <c r="I10" i="4" a="1"/>
  <c r="I10" i="4" s="1"/>
  <c r="G12" i="4" a="1"/>
  <c r="G12" i="4" s="1"/>
  <c r="J12" i="4" s="1"/>
  <c r="I28" i="4" a="1"/>
  <c r="I28" i="4" s="1"/>
  <c r="J31" i="4"/>
  <c r="G30" i="5" a="1"/>
  <c r="G30" i="5" s="1"/>
  <c r="G28" i="5" a="1"/>
  <c r="G28" i="5" s="1"/>
  <c r="F28" i="3" a="1"/>
  <c r="F28" i="3" s="1"/>
  <c r="J28" i="3" s="1"/>
  <c r="H29" i="3" a="1"/>
  <c r="H29" i="3" s="1"/>
  <c r="F30" i="3" a="1"/>
  <c r="F30" i="3" s="1"/>
  <c r="J30" i="3" s="1"/>
  <c r="F30" i="4" a="1"/>
  <c r="F30" i="4" s="1"/>
  <c r="J39" i="4"/>
  <c r="G48" i="5"/>
  <c r="G28" i="4" a="1"/>
  <c r="G28" i="4" s="1"/>
  <c r="E30" i="4" a="1"/>
  <c r="E30" i="4" s="1"/>
  <c r="J23" i="5"/>
  <c r="J45" i="5"/>
  <c r="J14" i="5"/>
  <c r="G30" i="4" a="1"/>
  <c r="G30" i="4" s="1"/>
  <c r="G29" i="5" a="1"/>
  <c r="G29" i="5" s="1"/>
  <c r="F28" i="4" a="1"/>
  <c r="F28" i="4" s="1"/>
  <c r="J28" i="4" s="1"/>
  <c r="J47" i="4"/>
  <c r="H28" i="5" a="1"/>
  <c r="H28" i="5" s="1"/>
  <c r="H30" i="5" a="1"/>
  <c r="H30" i="5" s="1"/>
  <c r="J43" i="5"/>
  <c r="E48" i="5"/>
  <c r="F28" i="5" a="1"/>
  <c r="F28" i="5" s="1"/>
  <c r="F30" i="5" a="1"/>
  <c r="F30" i="5" s="1"/>
  <c r="J30" i="5" s="1"/>
  <c r="E40" i="5"/>
  <c r="J29" i="5" l="1"/>
  <c r="J28" i="5"/>
  <c r="J29" i="4"/>
  <c r="F24" i="3"/>
  <c r="J11" i="4"/>
  <c r="F15" i="3"/>
  <c r="J9" i="3"/>
  <c r="H15" i="4"/>
  <c r="J20" i="5"/>
  <c r="H44" i="5" a="1"/>
  <c r="H44" i="5" s="1"/>
  <c r="H22" i="5" a="1"/>
  <c r="H22" i="5" s="1"/>
  <c r="H19" i="5" a="1"/>
  <c r="H19" i="5" s="1"/>
  <c r="H13" i="5" a="1"/>
  <c r="H13" i="5" s="1"/>
  <c r="H21" i="5" a="1"/>
  <c r="H21" i="5" s="1"/>
  <c r="H44" i="4" a="1"/>
  <c r="H44" i="4" s="1"/>
  <c r="H48" i="4" s="1"/>
  <c r="H19" i="4" a="1"/>
  <c r="H19" i="4" s="1"/>
  <c r="H19" i="3" a="1"/>
  <c r="H19" i="3" s="1"/>
  <c r="H13" i="3" a="1"/>
  <c r="H13" i="3" s="1"/>
  <c r="H21" i="3" a="1"/>
  <c r="H21" i="3" s="1"/>
  <c r="H22" i="4" a="1"/>
  <c r="H22" i="4" s="1"/>
  <c r="G26" i="2"/>
  <c r="H13" i="4" a="1"/>
  <c r="H13" i="4" s="1"/>
  <c r="H22" i="3" a="1"/>
  <c r="H22" i="3" s="1"/>
  <c r="H21" i="4" a="1"/>
  <c r="H21" i="4" s="1"/>
  <c r="H44" i="3" a="1"/>
  <c r="H44" i="3" s="1"/>
  <c r="J20" i="3"/>
  <c r="E15" i="3"/>
  <c r="J7" i="3"/>
  <c r="H15" i="3"/>
  <c r="F40" i="5"/>
  <c r="G15" i="3"/>
  <c r="G24" i="5"/>
  <c r="J8" i="4"/>
  <c r="E24" i="5"/>
  <c r="J18" i="5"/>
  <c r="F15" i="4"/>
  <c r="J12" i="5"/>
  <c r="J30" i="4"/>
  <c r="G15" i="5"/>
  <c r="G15" i="4"/>
  <c r="J11" i="5"/>
  <c r="F24" i="5"/>
  <c r="J8" i="3"/>
  <c r="E15" i="5"/>
  <c r="J7" i="5"/>
  <c r="J9" i="4"/>
  <c r="F27" i="3" a="1"/>
  <c r="F27" i="3" s="1"/>
  <c r="F32" i="3" s="1"/>
  <c r="H27" i="3" a="1"/>
  <c r="H27" i="3" s="1"/>
  <c r="H32" i="3" s="1"/>
  <c r="I27" i="3" a="1"/>
  <c r="I27" i="3" s="1"/>
  <c r="I32" i="3" s="1"/>
  <c r="G27" i="3" a="1"/>
  <c r="G27" i="3" s="1"/>
  <c r="G32" i="3" s="1"/>
  <c r="E27" i="3" a="1"/>
  <c r="E27" i="3" s="1"/>
  <c r="H15" i="5"/>
  <c r="J10" i="4"/>
  <c r="F15" i="5"/>
  <c r="J11" i="3"/>
  <c r="J8" i="5"/>
  <c r="G40" i="5"/>
  <c r="E15" i="4"/>
  <c r="J7" i="4"/>
  <c r="G24" i="3"/>
  <c r="E24" i="3"/>
  <c r="J18" i="3"/>
  <c r="F48" i="3"/>
  <c r="J29" i="3"/>
  <c r="F27" i="5" a="1"/>
  <c r="F27" i="5" s="1"/>
  <c r="F32" i="5" s="1"/>
  <c r="I27" i="5" a="1"/>
  <c r="I27" i="5" s="1"/>
  <c r="I32" i="5" s="1"/>
  <c r="E27" i="5" a="1"/>
  <c r="E27" i="5" s="1"/>
  <c r="H27" i="5" a="1"/>
  <c r="H27" i="5" s="1"/>
  <c r="H32" i="5" s="1"/>
  <c r="G27" i="5" a="1"/>
  <c r="G27" i="5" s="1"/>
  <c r="G32" i="5" s="1"/>
  <c r="J20" i="4"/>
  <c r="F48" i="5"/>
  <c r="G40" i="3"/>
  <c r="H36" i="5" a="1"/>
  <c r="H36" i="5" s="1"/>
  <c r="H46" i="4" a="1"/>
  <c r="H46" i="4" s="1"/>
  <c r="H38" i="5" a="1"/>
  <c r="H38" i="5" s="1"/>
  <c r="H35" i="5" a="1"/>
  <c r="H35" i="5" s="1"/>
  <c r="H46" i="5" a="1"/>
  <c r="H46" i="5" s="1"/>
  <c r="H37" i="5" a="1"/>
  <c r="H37" i="5" s="1"/>
  <c r="H36" i="4" a="1"/>
  <c r="H36" i="4" s="1"/>
  <c r="H35" i="4" a="1"/>
  <c r="H35" i="4" s="1"/>
  <c r="H36" i="3" a="1"/>
  <c r="H36" i="3" s="1"/>
  <c r="H37" i="4" a="1"/>
  <c r="H37" i="4" s="1"/>
  <c r="H35" i="3" a="1"/>
  <c r="H35" i="3" s="1"/>
  <c r="H46" i="3" a="1"/>
  <c r="H46" i="3" s="1"/>
  <c r="G27" i="2"/>
  <c r="H37" i="3" a="1"/>
  <c r="H37" i="3" s="1"/>
  <c r="H38" i="3" a="1"/>
  <c r="H38" i="3" s="1"/>
  <c r="H38" i="4" a="1"/>
  <c r="H38" i="4" s="1"/>
  <c r="G24" i="4"/>
  <c r="E24" i="4"/>
  <c r="J18" i="4"/>
  <c r="H27" i="4" a="1"/>
  <c r="H27" i="4" s="1"/>
  <c r="H32" i="4" s="1"/>
  <c r="E27" i="4" a="1"/>
  <c r="E27" i="4" s="1"/>
  <c r="G27" i="4" a="1"/>
  <c r="G27" i="4" s="1"/>
  <c r="G32" i="4" s="1"/>
  <c r="F27" i="4" a="1"/>
  <c r="F27" i="4" s="1"/>
  <c r="F32" i="4" s="1"/>
  <c r="I27" i="4" a="1"/>
  <c r="I27" i="4" s="1"/>
  <c r="I32" i="4" s="1"/>
  <c r="J12" i="3"/>
  <c r="J9" i="5"/>
  <c r="H24" i="5" l="1"/>
  <c r="H24" i="4"/>
  <c r="H24" i="3"/>
  <c r="F50" i="3"/>
  <c r="F51" i="3" s="1"/>
  <c r="F54" i="3" s="1"/>
  <c r="F56" i="3" s="1"/>
  <c r="J38" i="5"/>
  <c r="J37" i="4"/>
  <c r="H40" i="5"/>
  <c r="F50" i="4"/>
  <c r="F51" i="4" s="1"/>
  <c r="F54" i="4" s="1"/>
  <c r="F56" i="4" s="1"/>
  <c r="H40" i="3"/>
  <c r="H50" i="3" s="1"/>
  <c r="H51" i="3" s="1"/>
  <c r="H54" i="3" s="1"/>
  <c r="H56" i="3" s="1"/>
  <c r="F50" i="5"/>
  <c r="F51" i="5" s="1"/>
  <c r="F54" i="5" s="1"/>
  <c r="F56" i="5" s="1"/>
  <c r="G50" i="3"/>
  <c r="G51" i="3" s="1"/>
  <c r="G54" i="3" s="1"/>
  <c r="G56" i="3" s="1"/>
  <c r="J22" i="3"/>
  <c r="E32" i="5"/>
  <c r="J27" i="5"/>
  <c r="J32" i="5" s="1"/>
  <c r="G50" i="4"/>
  <c r="G51" i="4" s="1"/>
  <c r="G54" i="4" s="1"/>
  <c r="G56" i="4" s="1"/>
  <c r="I44" i="5" a="1"/>
  <c r="I44" i="5" s="1"/>
  <c r="I22" i="5" a="1"/>
  <c r="I22" i="5" s="1"/>
  <c r="I19" i="5" a="1"/>
  <c r="I19" i="5" s="1"/>
  <c r="J19" i="5" s="1"/>
  <c r="I13" i="5" a="1"/>
  <c r="I13" i="5" s="1"/>
  <c r="I15" i="5" s="1"/>
  <c r="I21" i="5" a="1"/>
  <c r="I21" i="5" s="1"/>
  <c r="J21" i="5" s="1"/>
  <c r="I44" i="4" a="1"/>
  <c r="I44" i="4" s="1"/>
  <c r="I22" i="4" a="1"/>
  <c r="I22" i="4" s="1"/>
  <c r="J22" i="4" s="1"/>
  <c r="I13" i="4" a="1"/>
  <c r="I13" i="4" s="1"/>
  <c r="I44" i="3" a="1"/>
  <c r="I44" i="3" s="1"/>
  <c r="I22" i="3" a="1"/>
  <c r="I22" i="3" s="1"/>
  <c r="I21" i="3" a="1"/>
  <c r="I21" i="3" s="1"/>
  <c r="J21" i="3" s="1"/>
  <c r="I13" i="3" a="1"/>
  <c r="I13" i="3" s="1"/>
  <c r="I15" i="3" s="1"/>
  <c r="I21" i="4" a="1"/>
  <c r="I21" i="4" s="1"/>
  <c r="J21" i="4" s="1"/>
  <c r="I19" i="4" a="1"/>
  <c r="I19" i="4" s="1"/>
  <c r="I19" i="3" a="1"/>
  <c r="I19" i="3" s="1"/>
  <c r="J19" i="3" s="1"/>
  <c r="J27" i="4"/>
  <c r="J32" i="4" s="1"/>
  <c r="E32" i="4"/>
  <c r="E50" i="4" s="1"/>
  <c r="H40" i="4"/>
  <c r="H50" i="4" s="1"/>
  <c r="J22" i="5"/>
  <c r="J36" i="4"/>
  <c r="E64" i="4"/>
  <c r="E63" i="4"/>
  <c r="J27" i="3"/>
  <c r="J32" i="3" s="1"/>
  <c r="E32" i="3"/>
  <c r="E50" i="3" s="1"/>
  <c r="E51" i="3" s="1"/>
  <c r="H48" i="5"/>
  <c r="J44" i="5"/>
  <c r="I38" i="5" a="1"/>
  <c r="I38" i="5" s="1"/>
  <c r="I37" i="4" a="1"/>
  <c r="I37" i="4" s="1"/>
  <c r="I35" i="5" a="1"/>
  <c r="I35" i="5" s="1"/>
  <c r="I40" i="5" s="1"/>
  <c r="I46" i="5" a="1"/>
  <c r="I46" i="5" s="1"/>
  <c r="J46" i="5" s="1"/>
  <c r="I37" i="5" a="1"/>
  <c r="I37" i="5" s="1"/>
  <c r="J37" i="5" s="1"/>
  <c r="I36" i="4" a="1"/>
  <c r="I36" i="4" s="1"/>
  <c r="I38" i="4" a="1"/>
  <c r="I38" i="4" s="1"/>
  <c r="J38" i="4" s="1"/>
  <c r="I38" i="3" a="1"/>
  <c r="I38" i="3" s="1"/>
  <c r="J38" i="3" s="1"/>
  <c r="I46" i="4" a="1"/>
  <c r="I46" i="4" s="1"/>
  <c r="J46" i="4" s="1"/>
  <c r="I37" i="3" a="1"/>
  <c r="I37" i="3" s="1"/>
  <c r="J37" i="3" s="1"/>
  <c r="I35" i="3" a="1"/>
  <c r="I35" i="3" s="1"/>
  <c r="I35" i="4" a="1"/>
  <c r="I35" i="4" s="1"/>
  <c r="I36" i="5" a="1"/>
  <c r="I36" i="5" s="1"/>
  <c r="J36" i="5" s="1"/>
  <c r="I46" i="3" a="1"/>
  <c r="I46" i="3" s="1"/>
  <c r="J46" i="3" s="1"/>
  <c r="I36" i="3" a="1"/>
  <c r="I36" i="3" s="1"/>
  <c r="J36" i="3"/>
  <c r="G50" i="5"/>
  <c r="G51" i="5" s="1"/>
  <c r="G54" i="5" s="1"/>
  <c r="G56" i="5" s="1"/>
  <c r="E63" i="3"/>
  <c r="E64" i="3"/>
  <c r="E64" i="5"/>
  <c r="E63" i="5"/>
  <c r="E50" i="5"/>
  <c r="E51" i="5" s="1"/>
  <c r="H48" i="3"/>
  <c r="H50" i="5" l="1"/>
  <c r="H51" i="5" s="1"/>
  <c r="H54" i="5" s="1"/>
  <c r="H56" i="5" s="1"/>
  <c r="J24" i="3"/>
  <c r="E51" i="4"/>
  <c r="J24" i="5"/>
  <c r="I40" i="3"/>
  <c r="J35" i="3"/>
  <c r="J40" i="3" s="1"/>
  <c r="I24" i="5"/>
  <c r="I50" i="5" s="1"/>
  <c r="J35" i="5"/>
  <c r="J40" i="5" s="1"/>
  <c r="I40" i="4"/>
  <c r="J35" i="4"/>
  <c r="J40" i="4" s="1"/>
  <c r="E54" i="5"/>
  <c r="I48" i="3"/>
  <c r="J44" i="3"/>
  <c r="J48" i="3" s="1"/>
  <c r="E54" i="3"/>
  <c r="J13" i="5"/>
  <c r="J15" i="5" s="1"/>
  <c r="I24" i="3"/>
  <c r="H51" i="4"/>
  <c r="H54" i="4" s="1"/>
  <c r="H56" i="4" s="1"/>
  <c r="J48" i="5"/>
  <c r="I48" i="5"/>
  <c r="J13" i="4"/>
  <c r="J15" i="4" s="1"/>
  <c r="I15" i="4"/>
  <c r="I24" i="4"/>
  <c r="J19" i="4"/>
  <c r="J24" i="4" s="1"/>
  <c r="I48" i="4"/>
  <c r="J44" i="4"/>
  <c r="J48" i="4" s="1"/>
  <c r="J13" i="3"/>
  <c r="J15" i="3" s="1"/>
  <c r="J50" i="5" l="1"/>
  <c r="E56" i="5"/>
  <c r="E54" i="4"/>
  <c r="E56" i="3"/>
  <c r="I50" i="4"/>
  <c r="J50" i="4" s="1"/>
  <c r="I51" i="5"/>
  <c r="I50" i="3"/>
  <c r="J50" i="3" s="1"/>
  <c r="I51" i="4" l="1"/>
  <c r="J51" i="4" s="1"/>
  <c r="E67" i="4" s="1"/>
  <c r="E56" i="4"/>
  <c r="I54" i="5"/>
  <c r="E66" i="5"/>
  <c r="J51" i="5"/>
  <c r="I51" i="3"/>
  <c r="E69" i="4" l="1"/>
  <c r="E68" i="4"/>
  <c r="E70" i="4"/>
  <c r="K24" i="4"/>
  <c r="K32" i="4"/>
  <c r="K48" i="4"/>
  <c r="E65" i="4"/>
  <c r="I54" i="4"/>
  <c r="E62" i="4"/>
  <c r="E66" i="4"/>
  <c r="K15" i="4"/>
  <c r="E59" i="4"/>
  <c r="K40" i="4"/>
  <c r="I56" i="5"/>
  <c r="J56" i="5" s="1"/>
  <c r="E61" i="5" s="1"/>
  <c r="J54" i="5"/>
  <c r="E60" i="5" s="1"/>
  <c r="I54" i="3"/>
  <c r="E66" i="3"/>
  <c r="J51" i="3"/>
  <c r="E62" i="5"/>
  <c r="E67" i="5"/>
  <c r="E59" i="5"/>
  <c r="E65" i="5"/>
  <c r="E69" i="5"/>
  <c r="K32" i="5"/>
  <c r="K24" i="5"/>
  <c r="K48" i="5"/>
  <c r="K15" i="5"/>
  <c r="E70" i="5"/>
  <c r="K40" i="5"/>
  <c r="E68" i="5"/>
  <c r="I56" i="4" l="1"/>
  <c r="J56" i="4" s="1"/>
  <c r="E61" i="4" s="1"/>
  <c r="J54" i="4"/>
  <c r="E60" i="4" s="1"/>
  <c r="E62" i="3"/>
  <c r="E67" i="3"/>
  <c r="E59" i="3"/>
  <c r="E65" i="3"/>
  <c r="K24" i="3"/>
  <c r="E69" i="3"/>
  <c r="K32" i="3"/>
  <c r="K48" i="3"/>
  <c r="E68" i="3"/>
  <c r="E70" i="3"/>
  <c r="K40" i="3"/>
  <c r="K15" i="3"/>
  <c r="I56" i="3"/>
  <c r="J56" i="3" s="1"/>
  <c r="E61" i="3" s="1"/>
  <c r="J54" i="3"/>
  <c r="E60" i="3" s="1"/>
</calcChain>
</file>

<file path=xl/sharedStrings.xml><?xml version="1.0" encoding="utf-8"?>
<sst xmlns="http://schemas.openxmlformats.org/spreadsheetml/2006/main" count="522" uniqueCount="192">
  <si>
    <t>Модель TCO (Total Cost of Ownership) — кейс «Africa Delivery», горизонт 5 лет</t>
  </si>
  <si>
    <t>TCO на 5 лет — Africa Delivery</t>
  </si>
  <si>
    <t>Допущения модели TCO — Africa Delivery</t>
  </si>
  <si>
    <t>Зачем этот файл</t>
  </si>
  <si>
    <t>Заполняются только ячейки с жёлтой заливкой. Все числа ниже — пример, заменить своими.</t>
  </si>
  <si>
    <t>Заполняем колонки «Драйвер роста» и «База, $/год (Год 1)». Годы 1–5 считаются автоматически.</t>
  </si>
  <si>
    <t>Задача</t>
  </si>
  <si>
    <t>Оценить полную стоимость владения выбранным архитектурным вариантом на 5 лет и использовать цифры как аргумент в ADR №1 («Выбор архитектурного стиля»).</t>
  </si>
  <si>
    <t>Как использовать</t>
  </si>
  <si>
    <t>Заполни один и тот же шаблон для каждого рассматриваемого варианта (например: модульный монолит / SOA / микросервисы) — сравнивать нужно итоги, а не ощущения.</t>
  </si>
  <si>
    <t>Цветовая легенда</t>
  </si>
  <si>
    <t>Синий текст на жёлтом фоне</t>
  </si>
  <si>
    <t>Ячейки для заполнения. Только их и редактируем.</t>
  </si>
  <si>
    <t>Чёрный текст</t>
  </si>
  <si>
    <t>Формулы. Не трогаем — пересчитаются сами.</t>
  </si>
  <si>
    <t>1. Драйверы бизнеса — заполнить</t>
  </si>
  <si>
    <t>Зелёный текст</t>
  </si>
  <si>
    <t>Ссылка на лист «Допущения».</t>
  </si>
  <si>
    <t>Порядок работы</t>
  </si>
  <si>
    <t>Шаг 1</t>
  </si>
  <si>
    <t>Лист «Допущения» → блок 1: вбить драйверы бизнеса по годам (активные пользователи, число заказов, средний чек). Из них считается GMV.</t>
  </si>
  <si>
    <t>Шаг 2</t>
  </si>
  <si>
    <t>Лист «Допущения» → блок 2: финансовые допущения (инфляция, рост ФОТ, ставка дисконтирования, резерв, целевой SLO).</t>
  </si>
  <si>
    <t>Шаг 3</t>
  </si>
  <si>
    <t>Лист «TCO» → в колонке «База, $/год (Год 1)» указать затраты первого года по каждой статье. Лишние статьи оставить пустыми, свои — дописать в свободные строки.</t>
  </si>
  <si>
    <t>Шаг 4</t>
  </si>
  <si>
    <t>Лист «TCO» → в колонке «Драйвер роста» выбрать из выпадающего списка, от чего растёт статья: фикс / инфляция / ФОТ / пользователи / заказы / GMV. Годы 2–5 посчитаются сами.</t>
  </si>
  <si>
    <t>Шаг 5</t>
  </si>
  <si>
    <t>Посмотреть блок «Ключевые метрики» внизу листа «TCO»: итог за 5 лет, NPV, стоимость на заказ, проверку бюджета CFO ($9k/мес на облако).</t>
  </si>
  <si>
    <t>Что важно не забыть в этом кейсе</t>
  </si>
  <si>
    <t>Бюджет CFO</t>
  </si>
  <si>
    <t>$9 000/мес на облако на старте. Если Год 1 в блоке «Облачная инфраструктура» не проходит — это архитектурное решение, а не ошибка модели: опиши, что урезаешь.</t>
  </si>
  <si>
    <t>Цена простоя</t>
  </si>
  <si>
    <t>Инвестор оценивает минуту простоя в $12 000. Целевой SLO 99,99% = 52,6 мин/год ≈ $631k. Этот риск считается отдельным блоком — сравни его со стоимостью резервирования.</t>
  </si>
  <si>
    <t>Показатель</t>
  </si>
  <si>
    <t>Транзакционные расходы</t>
  </si>
  <si>
    <t>Комиссии M-Pesa / Flutterwave / Paystack, SMS и WhatsApp растут с GMV и числом заказов и на горизонте 5 лет обычно обгоняют инфраструктуру. Не забудь их — это типичная ошибка.</t>
  </si>
  <si>
    <t>Сравнение вариантов</t>
  </si>
  <si>
    <t>Транзакционные расходы (блок 3) почти одинаковы для любой архитектуры — это pass-through от оборота. Варианты архитектуры сравнивай по блокам 1, 2, 4 и 6.</t>
  </si>
  <si>
    <t>Разовые затраты</t>
  </si>
  <si>
    <t>Комплаенс-аудит NDPR/POPIA, пентест, миграция — если статья возникает не каждый год, просто перезапиши формулу в нужной ячейке года числом (и покрась в синий).</t>
  </si>
  <si>
    <t>Статья затрат</t>
  </si>
  <si>
    <t>Год 1</t>
  </si>
  <si>
    <t>Люди</t>
  </si>
  <si>
    <t>Год 2</t>
  </si>
  <si>
    <t>ФОТ команды — обычно самая крупная статья TCO. Микросервисы дешевле в масштабировании, но дороже в эксплуатации: это должно быть видно в цифрах, а не только в тексте ADR.</t>
  </si>
  <si>
    <t>Год 3</t>
  </si>
  <si>
    <t>Год 4</t>
  </si>
  <si>
    <t>Год 5</t>
  </si>
  <si>
    <t>Драйвер роста</t>
  </si>
  <si>
    <t>Комментарий / источник</t>
  </si>
  <si>
    <t>Все числа в файле — примеры для демонстрации формата. Замени их своими оценками и укажи источник в колонке «Комментарий / источник».</t>
  </si>
  <si>
    <t>База, $/год (Год 1)</t>
  </si>
  <si>
    <t>Активные пользователи (на конец года)</t>
  </si>
  <si>
    <t>Цель кейса: 1М+ пользователей к 12 месяцам, 5 стран</t>
  </si>
  <si>
    <t>Число заказов в год</t>
  </si>
  <si>
    <t>MVP: 100 продавцов, 5000 SKU. Оценка студента</t>
  </si>
  <si>
    <t>Средний чек (AOV), $</t>
  </si>
  <si>
    <t>Оценка студента по рынку (Jumia / Takealot)</t>
  </si>
  <si>
    <t>GMV, $ в год (расчёт)</t>
  </si>
  <si>
    <t>Итого 5 лет</t>
  </si>
  <si>
    <t>Доля</t>
  </si>
  <si>
    <t>БЛОК 1. Облачная инфраструктура (OpEx)</t>
  </si>
  <si>
    <t>Compute: ноды / контейнеры / serverless</t>
  </si>
  <si>
    <t>пользователи</t>
  </si>
  <si>
    <t>Расчёт: заказы × средний чек</t>
  </si>
  <si>
    <t>2. Финансовые допущения — заполнить</t>
  </si>
  <si>
    <t>Параметр</t>
  </si>
  <si>
    <t>Значение</t>
  </si>
  <si>
    <t>Инфляция затрат, % в год</t>
  </si>
  <si>
    <t>Применяется к статьям с драйвером «инфляция»</t>
  </si>
  <si>
    <t>Рост ФОТ, % в год</t>
  </si>
  <si>
    <t>Дефицит ИТ-специалистов на рынке — рост выше инфляции</t>
  </si>
  <si>
    <t>Ставка дисконтирования, % в год</t>
  </si>
  <si>
    <t>Для расчёта NPV затрат. Стартап, высокий риск</t>
  </si>
  <si>
    <t>Резерв на непредвиденное (contingency), %</t>
  </si>
  <si>
    <t>Надбавка к прямым затратам</t>
  </si>
  <si>
    <t>Бюджет CFO на облако, $/мес</t>
  </si>
  <si>
    <t>Ограничение из письма CFO</t>
  </si>
  <si>
    <t>Стоимость минуты простоя, $</t>
  </si>
  <si>
    <t>Оценка инвестора из условия кейса</t>
  </si>
  <si>
    <t>Целевой SLO (доступность), %</t>
  </si>
  <si>
    <t>Mission critical: 99,99% = 52,6 мин/год</t>
  </si>
  <si>
    <t>Учитывать стоимость простоя в TCO (1 — да, 0 — нет)</t>
  </si>
  <si>
    <t>Переключатель для сценарного анализа</t>
  </si>
  <si>
    <t>3. Индексы роста — расчёт, не редактировать</t>
  </si>
  <si>
    <t>Драйвер</t>
  </si>
  <si>
    <t>Как считается</t>
  </si>
  <si>
    <t>фикс</t>
  </si>
  <si>
    <t>Затраты не меняются по годам</t>
  </si>
  <si>
    <t>инфляция</t>
  </si>
  <si>
    <t>Год N = Год N-1 × (1 + инфляция)</t>
  </si>
  <si>
    <t>ФОТ</t>
  </si>
  <si>
    <t>Год N = Год N-1 × (1 + рост ФОТ)</t>
  </si>
  <si>
    <t>Пропорционально числу активных пользователей</t>
  </si>
  <si>
    <t>заказы</t>
  </si>
  <si>
    <t>Пропорционально числу заказов</t>
  </si>
  <si>
    <t>GMV</t>
  </si>
  <si>
    <t>Пропорционально обороту</t>
  </si>
  <si>
    <t>Драйвер «пользователи» — упрощение: облачные расходы редко растут строго линейно (есть эффект масштаба и обратный эффект — рост нагрузки на БД). При желании введи свой драйвер отдельной строкой в таблице индексов.</t>
  </si>
  <si>
    <t>AWS af-south-1, оценка по калькулятору</t>
  </si>
  <si>
    <t>Управляемые БД (PostgreSQL, реплики)</t>
  </si>
  <si>
    <t>Managed RDS + read replica</t>
  </si>
  <si>
    <t>Хранилище объектов и резервные копии</t>
  </si>
  <si>
    <t>Фото товаров, 5000 SKU на старте</t>
  </si>
  <si>
    <t>CDN и исходящий трафик</t>
  </si>
  <si>
    <t>70% трафика — мобильный 3G, картинки WebP</t>
  </si>
  <si>
    <t>Очереди / стриминг (Kafka, SQS)</t>
  </si>
  <si>
    <t>Асинхронные заказы и уведомления</t>
  </si>
  <si>
    <t>Резервный регион / DR</t>
  </si>
  <si>
    <t>Зависит от выбранной стратегии RTO/RPO</t>
  </si>
  <si>
    <t>Локальное размещение данных (NDPR, Нигерия)</t>
  </si>
  <si>
    <t>Локальный провайдер или партнёр — см. ADR №3</t>
  </si>
  <si>
    <t>Своя статья</t>
  </si>
  <si>
    <t>Итого по блоку</t>
  </si>
  <si>
    <t>БЛОК 2. Лицензии, SaaS и инструменты</t>
  </si>
  <si>
    <t>Observability (метрики, логи, трейсинг)</t>
  </si>
  <si>
    <t>Объём логов растёт с нагрузкой</t>
  </si>
  <si>
    <t>CI/CD, репозиторий, артефакты</t>
  </si>
  <si>
    <t>GitHub / GitLab, тарифы на команду</t>
  </si>
  <si>
    <t>Безопасность: WAF, секреты, антифрод</t>
  </si>
  <si>
    <t>Мошенничество на ПВЗ — риск из кейса</t>
  </si>
  <si>
    <t>WhatsApp Business API (подписка)</t>
  </si>
  <si>
    <t>Канал для продавцов без личного кабинета</t>
  </si>
  <si>
    <t>Прочее ПО и подписки</t>
  </si>
  <si>
    <t>Таск-трекер, дизайн, аналитика</t>
  </si>
  <si>
    <t>БЛОК 3. Транзакционные расходы (Buy / Partner)</t>
  </si>
  <si>
    <t>Комиссии платёжных провайдеров</t>
  </si>
  <si>
    <t>≈3% от GMV: M-Pesa (Кения), Flutterwave / Paystack (Нигерия)</t>
  </si>
  <si>
    <t>SMS-уведомления</t>
  </si>
  <si>
    <t>≈$0,04 за SMS × заказы</t>
  </si>
  <si>
    <t>WhatsApp-сообщения (за диалог)</t>
  </si>
  <si>
    <t>Тариф Meta за conversation</t>
  </si>
  <si>
    <t>Логистика: интеграции и комиссии партнёров</t>
  </si>
  <si>
    <t>Sendbox (Нигерия), Sendy (Кения)</t>
  </si>
  <si>
    <t>БЛОК 4. Команда (ФОТ)</t>
  </si>
  <si>
    <t>Разработка (FTE × годовая ставка)</t>
  </si>
  <si>
    <t>Например 6 FTE × $60k. Зависит от арх. варианта!</t>
  </si>
  <si>
    <t>DevOps / SRE</t>
  </si>
  <si>
    <t>Микросервисы требуют больше SRE, чем монолит</t>
  </si>
  <si>
    <t>Поддержка и дежурства 24/7</t>
  </si>
  <si>
    <t>Требование mission critical: дежурство ночью</t>
  </si>
  <si>
    <t>Архитектура и менеджмент</t>
  </si>
  <si>
    <t>Solution Architect, CTO-функция, PM</t>
  </si>
  <si>
    <t>БЛОК 5. Разовые затраты и комплаенс</t>
  </si>
  <si>
    <t>Юридический и комплаенс-аудит (NDPR, POPIA, KICA)</t>
  </si>
  <si>
    <t>Разовая статья — обнули лишние годы вручную</t>
  </si>
  <si>
    <t>Пентест и аудит безопасности</t>
  </si>
  <si>
    <t>Ежегодно, если mission critical</t>
  </si>
  <si>
    <t>Миграция данных и интеграции при запуске</t>
  </si>
  <si>
    <t>Разовая статья</t>
  </si>
  <si>
    <t>Обучение команды и найм</t>
  </si>
  <si>
    <t>Дефицит локальных ИТ-специалистов</t>
  </si>
  <si>
    <t>Резерв на непредвиденное (contingency)</t>
  </si>
  <si>
    <t>Расчёт: сумма блоков 1–5 × ставка резерва с листа «Допущения»</t>
  </si>
  <si>
    <t>ИТОГО прямые затраты (TCO без учёта простоев)</t>
  </si>
  <si>
    <t>БЛОК 6. Стоимость недоступности (риск)</t>
  </si>
  <si>
    <t>Ожидаемые потери из-за простоя при целевом SLO</t>
  </si>
  <si>
    <t>Расчёт: (1 − SLO) × 525 600 мин/год × стоимость минуты × переключатель. 525 600 — число минут в году</t>
  </si>
  <si>
    <t>ИТОГО TCO с учётом стоимости простоя</t>
  </si>
  <si>
    <t>Коэффициент дисконтирования</t>
  </si>
  <si>
    <t>Дисконтированный TCO (NPV затрат)</t>
  </si>
  <si>
    <t>Ключевые метрики</t>
  </si>
  <si>
    <t>TCO за 5 лет, прямые затраты</t>
  </si>
  <si>
    <t>Основная цифра для сравнения вариантов в ADR</t>
  </si>
  <si>
    <t>TCO за 5 лет с учётом простоя</t>
  </si>
  <si>
    <t>Показывает цену недоступности для mission critical</t>
  </si>
  <si>
    <t>NPV затрат за 5 лет</t>
  </si>
  <si>
    <t>Затраты, приведённые к сегодняшнему дню</t>
  </si>
  <si>
    <t>Средние затраты в год</t>
  </si>
  <si>
    <t>Ориентир для планирования бюджета</t>
  </si>
  <si>
    <t>Облако, $/мес в Год 1</t>
  </si>
  <si>
    <t>Сравнивается с лимитом CFO</t>
  </si>
  <si>
    <t>Проверка бюджета CFO на Год 1</t>
  </si>
  <si>
    <t>Если превышение — объясни в ADR, чем жертвуешь</t>
  </si>
  <si>
    <t>TCO на 1 заказ за 5 лет</t>
  </si>
  <si>
    <t>Юнит-экономика: сколько ИТ стоит в одном заказе</t>
  </si>
  <si>
    <t>TCO на 1 активного пользователя (Год 5)</t>
  </si>
  <si>
    <t>Проверка масштабируемости модели</t>
  </si>
  <si>
    <t>Затраты ИТ как доля GMV за 5 лет</t>
  </si>
  <si>
    <t>Здоровый маркетплейс — единицы процентов</t>
  </si>
  <si>
    <t>Доля облачной инфраструктуры в TCO</t>
  </si>
  <si>
    <t>Обычно меньше, чем ожидают студенты</t>
  </si>
  <si>
    <t>Доля транзакционных расходов в TCO</t>
  </si>
  <si>
    <t>Растёт быстрее всего вместе с GMV</t>
  </si>
  <si>
    <t>Доля команды (ФОТ) в TCO</t>
  </si>
  <si>
    <t>Как правило, крупнейшая статья</t>
  </si>
  <si>
    <t>Вывод для ADR (заполнить текстом): какой вариант дешевле, за счёт чего, и какие допущения сильнее всего влияют на результат?</t>
  </si>
  <si>
    <t>A: Модульный монолит. Сравнение архитектур — по блокам 1, 2, 4 и 6; ставки транзакций одинаковы. Допущения и формулы исходного шаблона сохранены, включая повторение разовых статей по выбранным драйверам.</t>
  </si>
  <si>
    <t>B: 5 крупных сервисов. Сравнение архитектур — по блокам 1, 2, 4 и 6; ставки транзакций одинаковы. Допущения и формулы исходного шаблона сохранены, включая повторение разовых статей по выбранным драйверам.</t>
  </si>
  <si>
    <t>C: Вариант CTO. Сравнение архитектур — по блокам 1, 2, 4 и 6; ставки транзакций одинаковы. Допущения и формулы исходного шаблона сохранены, включая повторение разовых статей по выбранным драйверам.</t>
  </si>
  <si>
    <t>business/product forecasting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</si>
</sst>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;&quot;($&quot;#,##0.00\);\-"/>
    <numFmt numFmtId="165" formatCode="\$#,##0;&quot;($&quot;#,##0\);\-"/>
    <numFmt numFmtId="166" formatCode="0.0%"/>
    <numFmt numFmtId="167" formatCode="0.000%"/>
    <numFmt numFmtId="168" formatCode="0.000"/>
  </numFmts>
  <fonts count="15" x14ac:knownFonts="1">
    <font>
      <sz val="11"/>
      <color theme="1"/>
      <name val="Calibri"/>
      <scheme val="minor"/>
    </font>
    <font>
      <b/>
      <sz val="14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1"/>
      <color theme="1"/>
      <name val="Arial"/>
    </font>
    <font>
      <sz val="11"/>
      <color theme="1"/>
      <name val="Calibri"/>
    </font>
    <font>
      <i/>
      <sz val="9"/>
      <color rgb="FF808080"/>
      <name val="Arial"/>
    </font>
    <font>
      <b/>
      <sz val="11"/>
      <color rgb="FFFFFFFF"/>
      <name val="Arial"/>
    </font>
    <font>
      <b/>
      <sz val="10"/>
      <color rgb="FFC00000"/>
      <name val="Arial"/>
    </font>
    <font>
      <sz val="10"/>
      <color rgb="FF0000FF"/>
      <name val="Arial"/>
    </font>
    <font>
      <sz val="11"/>
      <color theme="1"/>
      <name val="Calibri"/>
      <scheme val="minor"/>
    </font>
    <font>
      <sz val="10"/>
      <color rgb="FF008000"/>
      <name val="Arial"/>
    </font>
    <font>
      <sz val="11"/>
      <name val="Calibri"/>
    </font>
    <font>
      <strike/>
      <sz val="10"/>
      <color theme="1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1F3864"/>
        <bgColor rgb="FF1F3864"/>
      </patternFill>
    </fill>
    <fill>
      <patternFill patternType="solid">
        <fgColor rgb="FFFFFF99"/>
        <bgColor rgb="FFFFFF99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2" borderId="1" xfId="0" applyFont="1" applyFill="1" applyBorder="1"/>
    <xf numFmtId="0" fontId="5" fillId="2" borderId="1" xfId="0" applyFont="1" applyFill="1" applyBorder="1"/>
    <xf numFmtId="0" fontId="6" fillId="0" borderId="0" xfId="0" applyFont="1"/>
    <xf numFmtId="0" fontId="4" fillId="2" borderId="2" xfId="0" applyFont="1" applyFill="1" applyBorder="1"/>
    <xf numFmtId="0" fontId="5" fillId="2" borderId="2" xfId="0" applyFont="1" applyFill="1" applyBorder="1"/>
    <xf numFmtId="0" fontId="7" fillId="3" borderId="2" xfId="0" applyFont="1" applyFill="1" applyBorder="1" applyAlignment="1">
      <alignment horizontal="center" vertical="center" wrapText="1"/>
    </xf>
    <xf numFmtId="0" fontId="3" fillId="0" borderId="2" xfId="0" applyFont="1" applyBorder="1"/>
    <xf numFmtId="3" fontId="9" fillId="4" borderId="2" xfId="0" applyNumberFormat="1" applyFont="1" applyFill="1" applyBorder="1"/>
    <xf numFmtId="0" fontId="6" fillId="0" borderId="0" xfId="0" applyFont="1" applyAlignment="1">
      <alignment vertical="top" wrapText="1"/>
    </xf>
    <xf numFmtId="164" fontId="9" fillId="4" borderId="2" xfId="0" applyNumberFormat="1" applyFont="1" applyFill="1" applyBorder="1"/>
    <xf numFmtId="0" fontId="2" fillId="0" borderId="2" xfId="0" applyFont="1" applyBorder="1"/>
    <xf numFmtId="165" fontId="2" fillId="0" borderId="2" xfId="0" applyNumberFormat="1" applyFont="1" applyBorder="1"/>
    <xf numFmtId="0" fontId="9" fillId="4" borderId="2" xfId="0" applyFont="1" applyFill="1" applyBorder="1"/>
    <xf numFmtId="165" fontId="9" fillId="4" borderId="2" xfId="0" applyNumberFormat="1" applyFont="1" applyFill="1" applyBorder="1"/>
    <xf numFmtId="166" fontId="9" fillId="4" borderId="2" xfId="0" applyNumberFormat="1" applyFont="1" applyFill="1" applyBorder="1"/>
    <xf numFmtId="167" fontId="9" fillId="4" borderId="2" xfId="0" applyNumberFormat="1" applyFont="1" applyFill="1" applyBorder="1"/>
    <xf numFmtId="1" fontId="9" fillId="4" borderId="2" xfId="0" applyNumberFormat="1" applyFont="1" applyFill="1" applyBorder="1"/>
    <xf numFmtId="2" fontId="3" fillId="0" borderId="2" xfId="0" applyNumberFormat="1" applyFont="1" applyBorder="1"/>
    <xf numFmtId="165" fontId="3" fillId="0" borderId="2" xfId="0" applyNumberFormat="1" applyFont="1" applyBorder="1"/>
    <xf numFmtId="0" fontId="5" fillId="0" borderId="2" xfId="0" applyFont="1" applyBorder="1"/>
    <xf numFmtId="0" fontId="6" fillId="0" borderId="2" xfId="0" applyFont="1" applyBorder="1" applyAlignment="1">
      <alignment vertical="top" wrapText="1"/>
    </xf>
    <xf numFmtId="0" fontId="2" fillId="5" borderId="2" xfId="0" applyFont="1" applyFill="1" applyBorder="1"/>
    <xf numFmtId="0" fontId="5" fillId="5" borderId="2" xfId="0" applyFont="1" applyFill="1" applyBorder="1"/>
    <xf numFmtId="165" fontId="2" fillId="5" borderId="2" xfId="0" applyNumberFormat="1" applyFont="1" applyFill="1" applyBorder="1"/>
    <xf numFmtId="166" fontId="2" fillId="5" borderId="2" xfId="0" applyNumberFormat="1" applyFont="1" applyFill="1" applyBorder="1"/>
    <xf numFmtId="0" fontId="10" fillId="0" borderId="0" xfId="0" applyFont="1"/>
    <xf numFmtId="165" fontId="11" fillId="0" borderId="2" xfId="0" applyNumberFormat="1" applyFont="1" applyBorder="1"/>
    <xf numFmtId="168" fontId="11" fillId="0" borderId="2" xfId="0" applyNumberFormat="1" applyFont="1" applyBorder="1"/>
    <xf numFmtId="0" fontId="13" fillId="0" borderId="0" xfId="0" applyFont="1" applyAlignment="1">
      <alignment vertical="top" wrapText="1"/>
    </xf>
    <xf numFmtId="0" fontId="0" fillId="0" borderId="0" xfId="0" applyAlignment="1">
      <alignment horizontal="left" vertical="center"/>
    </xf>
    <xf numFmtId="0" fontId="14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0" fillId="0" borderId="0" xfId="0"/>
    <xf numFmtId="0" fontId="6" fillId="0" borderId="0" xfId="0" applyFont="1" applyAlignment="1">
      <alignment vertical="top" wrapText="1"/>
    </xf>
    <xf numFmtId="0" fontId="4" fillId="0" borderId="0" xfId="0" applyFont="1"/>
    <xf numFmtId="0" fontId="9" fillId="4" borderId="5" xfId="0" applyFont="1" applyFill="1" applyBorder="1" applyAlignment="1">
      <alignment vertical="top" wrapText="1"/>
    </xf>
    <xf numFmtId="0" fontId="12" fillId="0" borderId="6" xfId="0" applyFont="1" applyBorder="1"/>
    <xf numFmtId="0" fontId="12" fillId="0" borderId="7" xfId="0" applyFont="1" applyBorder="1"/>
    <xf numFmtId="0" fontId="12" fillId="0" borderId="8" xfId="0" applyFont="1" applyBorder="1"/>
    <xf numFmtId="0" fontId="12" fillId="0" borderId="9" xfId="0" applyFont="1" applyBorder="1"/>
    <xf numFmtId="0" fontId="12" fillId="0" borderId="10" xfId="0" applyFont="1" applyBorder="1"/>
    <xf numFmtId="0" fontId="12" fillId="0" borderId="11" xfId="0" applyFont="1" applyBorder="1"/>
    <xf numFmtId="0" fontId="12" fillId="0" borderId="12" xfId="0" applyFont="1" applyBorder="1"/>
    <xf numFmtId="165" fontId="2" fillId="6" borderId="3" xfId="0" applyNumberFormat="1" applyFont="1" applyFill="1" applyBorder="1"/>
    <xf numFmtId="0" fontId="12" fillId="0" borderId="4" xfId="0" applyFont="1" applyBorder="1"/>
    <xf numFmtId="0" fontId="2" fillId="6" borderId="3" xfId="0" applyFont="1" applyFill="1" applyBorder="1"/>
    <xf numFmtId="164" fontId="2" fillId="6" borderId="3" xfId="0" applyNumberFormat="1" applyFont="1" applyFill="1" applyBorder="1"/>
    <xf numFmtId="10" fontId="2" fillId="6" borderId="3" xfId="0" applyNumberFormat="1" applyFont="1" applyFill="1" applyBorder="1"/>
    <xf numFmtId="166" fontId="2" fillId="6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00"/>
  <sheetViews>
    <sheetView showGridLines="0" topLeftCell="A9" workbookViewId="0">
      <selection activeCell="B25" sqref="B25"/>
    </sheetView>
  </sheetViews>
  <sheetFormatPr defaultColWidth="14.42578125" defaultRowHeight="15" customHeight="1" x14ac:dyDescent="0.25"/>
  <cols>
    <col min="1" max="1" width="3" customWidth="1"/>
    <col min="2" max="2" width="46" customWidth="1"/>
    <col min="3" max="3" width="78" customWidth="1"/>
    <col min="4" max="4" width="37.42578125" customWidth="1"/>
    <col min="5" max="26" width="8.7109375" customWidth="1"/>
  </cols>
  <sheetData>
    <row r="2" spans="2:4" ht="18" x14ac:dyDescent="0.25">
      <c r="B2" s="1" t="s">
        <v>0</v>
      </c>
    </row>
    <row r="3" spans="2:4" x14ac:dyDescent="0.25">
      <c r="B3" s="2"/>
      <c r="C3" s="3"/>
    </row>
    <row r="4" spans="2:4" x14ac:dyDescent="0.25">
      <c r="B4" s="4" t="s">
        <v>3</v>
      </c>
      <c r="C4" s="5"/>
    </row>
    <row r="5" spans="2:4" ht="30" customHeight="1" x14ac:dyDescent="0.25">
      <c r="B5" s="2" t="s">
        <v>6</v>
      </c>
      <c r="C5" s="3" t="s">
        <v>7</v>
      </c>
    </row>
    <row r="6" spans="2:4" ht="30" customHeight="1" x14ac:dyDescent="0.25">
      <c r="B6" s="2" t="s">
        <v>8</v>
      </c>
      <c r="C6" s="3" t="s">
        <v>9</v>
      </c>
    </row>
    <row r="7" spans="2:4" x14ac:dyDescent="0.25">
      <c r="B7" s="2"/>
      <c r="C7" s="3"/>
    </row>
    <row r="8" spans="2:4" x14ac:dyDescent="0.25">
      <c r="B8" s="4" t="s">
        <v>10</v>
      </c>
      <c r="C8" s="5"/>
    </row>
    <row r="9" spans="2:4" x14ac:dyDescent="0.25">
      <c r="B9" s="2" t="s">
        <v>11</v>
      </c>
      <c r="C9" s="3" t="s">
        <v>12</v>
      </c>
    </row>
    <row r="10" spans="2:4" x14ac:dyDescent="0.25">
      <c r="B10" s="2" t="s">
        <v>13</v>
      </c>
      <c r="C10" s="3" t="s">
        <v>14</v>
      </c>
    </row>
    <row r="11" spans="2:4" x14ac:dyDescent="0.25">
      <c r="B11" s="2" t="s">
        <v>16</v>
      </c>
      <c r="C11" s="3" t="s">
        <v>17</v>
      </c>
    </row>
    <row r="12" spans="2:4" x14ac:dyDescent="0.25">
      <c r="B12" s="2"/>
      <c r="C12" s="3"/>
    </row>
    <row r="13" spans="2:4" x14ac:dyDescent="0.25">
      <c r="B13" s="4" t="s">
        <v>18</v>
      </c>
      <c r="C13" s="5"/>
    </row>
    <row r="14" spans="2:4" ht="30" customHeight="1" x14ac:dyDescent="0.25">
      <c r="B14" s="2" t="s">
        <v>19</v>
      </c>
      <c r="C14" s="32" t="s">
        <v>20</v>
      </c>
      <c r="D14" s="33" t="s">
        <v>191</v>
      </c>
    </row>
    <row r="15" spans="2:4" ht="30" customHeight="1" x14ac:dyDescent="0.25">
      <c r="B15" s="2" t="s">
        <v>21</v>
      </c>
      <c r="C15" s="32" t="s">
        <v>22</v>
      </c>
      <c r="D15" s="33" t="s">
        <v>191</v>
      </c>
    </row>
    <row r="16" spans="2:4" ht="30" customHeight="1" x14ac:dyDescent="0.25">
      <c r="B16" s="2" t="s">
        <v>23</v>
      </c>
      <c r="C16" s="3" t="s">
        <v>24</v>
      </c>
    </row>
    <row r="17" spans="2:3" ht="30" customHeight="1" x14ac:dyDescent="0.25">
      <c r="B17" s="2" t="s">
        <v>25</v>
      </c>
      <c r="C17" s="3" t="s">
        <v>26</v>
      </c>
    </row>
    <row r="18" spans="2:3" ht="30" customHeight="1" x14ac:dyDescent="0.25">
      <c r="B18" s="2" t="s">
        <v>27</v>
      </c>
      <c r="C18" s="3" t="s">
        <v>28</v>
      </c>
    </row>
    <row r="19" spans="2:3" x14ac:dyDescent="0.25">
      <c r="B19" s="2"/>
      <c r="C19" s="3"/>
    </row>
    <row r="20" spans="2:3" x14ac:dyDescent="0.25">
      <c r="B20" s="4" t="s">
        <v>29</v>
      </c>
      <c r="C20" s="5"/>
    </row>
    <row r="21" spans="2:3" ht="25.5" x14ac:dyDescent="0.25">
      <c r="B21" s="2" t="s">
        <v>30</v>
      </c>
      <c r="C21" s="3" t="s">
        <v>31</v>
      </c>
    </row>
    <row r="22" spans="2:3" ht="38.25" x14ac:dyDescent="0.25">
      <c r="B22" s="2" t="s">
        <v>32</v>
      </c>
      <c r="C22" s="3" t="s">
        <v>33</v>
      </c>
    </row>
    <row r="23" spans="2:3" ht="38.25" x14ac:dyDescent="0.25">
      <c r="B23" s="2" t="s">
        <v>35</v>
      </c>
      <c r="C23" s="34" t="s">
        <v>36</v>
      </c>
    </row>
    <row r="24" spans="2:3" ht="25.5" x14ac:dyDescent="0.25">
      <c r="B24" s="2" t="s">
        <v>37</v>
      </c>
      <c r="C24" s="3" t="s">
        <v>38</v>
      </c>
    </row>
    <row r="25" spans="2:3" ht="38.25" x14ac:dyDescent="0.25">
      <c r="B25" s="2" t="s">
        <v>39</v>
      </c>
      <c r="C25" s="3" t="s">
        <v>40</v>
      </c>
    </row>
    <row r="26" spans="2:3" ht="38.25" x14ac:dyDescent="0.25">
      <c r="B26" s="2" t="s">
        <v>43</v>
      </c>
      <c r="C26" s="3" t="s">
        <v>45</v>
      </c>
    </row>
    <row r="27" spans="2:3" ht="15.75" customHeight="1" x14ac:dyDescent="0.25">
      <c r="B27" s="2"/>
      <c r="C27" s="3"/>
    </row>
    <row r="28" spans="2:3" ht="30" customHeight="1" x14ac:dyDescent="0.25">
      <c r="B28" s="35" t="s">
        <v>51</v>
      </c>
      <c r="C28" s="36"/>
    </row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28:C28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1000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ColWidth="14.42578125" defaultRowHeight="15" customHeight="1" x14ac:dyDescent="0.25"/>
  <cols>
    <col min="1" max="1" width="3" customWidth="1"/>
    <col min="2" max="2" width="42" customWidth="1"/>
    <col min="3" max="7" width="15" customWidth="1"/>
    <col min="8" max="8" width="52" customWidth="1"/>
    <col min="9" max="26" width="8.7109375" customWidth="1"/>
  </cols>
  <sheetData>
    <row r="2" spans="2:8" ht="18" x14ac:dyDescent="0.25">
      <c r="B2" s="1" t="s">
        <v>2</v>
      </c>
    </row>
    <row r="3" spans="2:8" x14ac:dyDescent="0.25">
      <c r="B3" s="6" t="s">
        <v>4</v>
      </c>
    </row>
    <row r="5" spans="2:8" x14ac:dyDescent="0.25">
      <c r="B5" s="7" t="s">
        <v>15</v>
      </c>
      <c r="C5" s="8"/>
      <c r="D5" s="8"/>
      <c r="E5" s="8"/>
      <c r="F5" s="8"/>
      <c r="G5" s="8"/>
      <c r="H5" s="8"/>
    </row>
    <row r="6" spans="2:8" x14ac:dyDescent="0.25">
      <c r="B6" s="9" t="s">
        <v>34</v>
      </c>
      <c r="C6" s="9" t="s">
        <v>42</v>
      </c>
      <c r="D6" s="9" t="s">
        <v>44</v>
      </c>
      <c r="E6" s="9" t="s">
        <v>46</v>
      </c>
      <c r="F6" s="9" t="s">
        <v>47</v>
      </c>
      <c r="G6" s="9" t="s">
        <v>48</v>
      </c>
      <c r="H6" s="9" t="s">
        <v>50</v>
      </c>
    </row>
    <row r="7" spans="2:8" x14ac:dyDescent="0.25">
      <c r="B7" s="10" t="s">
        <v>53</v>
      </c>
      <c r="C7" s="11">
        <v>150000</v>
      </c>
      <c r="D7" s="11">
        <v>600000</v>
      </c>
      <c r="E7" s="11">
        <v>1500000</v>
      </c>
      <c r="F7" s="11">
        <v>2500000</v>
      </c>
      <c r="G7" s="11">
        <v>3500000</v>
      </c>
      <c r="H7" s="12" t="s">
        <v>54</v>
      </c>
    </row>
    <row r="8" spans="2:8" x14ac:dyDescent="0.25">
      <c r="B8" s="10" t="s">
        <v>55</v>
      </c>
      <c r="C8" s="11">
        <v>300000</v>
      </c>
      <c r="D8" s="11">
        <v>1800000</v>
      </c>
      <c r="E8" s="11">
        <v>6000000</v>
      </c>
      <c r="F8" s="11">
        <v>12000000</v>
      </c>
      <c r="G8" s="11">
        <v>18000000</v>
      </c>
      <c r="H8" s="12" t="s">
        <v>56</v>
      </c>
    </row>
    <row r="9" spans="2:8" x14ac:dyDescent="0.25">
      <c r="B9" s="10" t="s">
        <v>57</v>
      </c>
      <c r="C9" s="13">
        <v>25</v>
      </c>
      <c r="D9" s="13">
        <v>26</v>
      </c>
      <c r="E9" s="13">
        <v>27</v>
      </c>
      <c r="F9" s="13">
        <v>28</v>
      </c>
      <c r="G9" s="13">
        <v>29</v>
      </c>
      <c r="H9" s="12" t="s">
        <v>58</v>
      </c>
    </row>
    <row r="10" spans="2:8" x14ac:dyDescent="0.25">
      <c r="B10" s="14" t="s">
        <v>59</v>
      </c>
      <c r="C10" s="15">
        <f t="shared" ref="C10:G10" si="0">C8*C9</f>
        <v>7500000</v>
      </c>
      <c r="D10" s="15">
        <f t="shared" si="0"/>
        <v>46800000</v>
      </c>
      <c r="E10" s="15">
        <f t="shared" si="0"/>
        <v>162000000</v>
      </c>
      <c r="F10" s="15">
        <f t="shared" si="0"/>
        <v>336000000</v>
      </c>
      <c r="G10" s="15">
        <f t="shared" si="0"/>
        <v>522000000</v>
      </c>
      <c r="H10" s="12" t="s">
        <v>65</v>
      </c>
    </row>
    <row r="12" spans="2:8" x14ac:dyDescent="0.25">
      <c r="B12" s="7" t="s">
        <v>66</v>
      </c>
      <c r="C12" s="8"/>
      <c r="D12" s="8"/>
      <c r="E12" s="8"/>
      <c r="F12" s="8"/>
      <c r="G12" s="8"/>
      <c r="H12" s="8"/>
    </row>
    <row r="13" spans="2:8" x14ac:dyDescent="0.25">
      <c r="B13" s="9" t="s">
        <v>67</v>
      </c>
      <c r="C13" s="9" t="s">
        <v>68</v>
      </c>
      <c r="D13" s="9"/>
      <c r="E13" s="9"/>
      <c r="F13" s="9"/>
      <c r="G13" s="9"/>
      <c r="H13" s="9" t="s">
        <v>50</v>
      </c>
    </row>
    <row r="14" spans="2:8" x14ac:dyDescent="0.25">
      <c r="B14" s="10" t="s">
        <v>69</v>
      </c>
      <c r="C14" s="18">
        <v>0.08</v>
      </c>
      <c r="H14" s="12" t="s">
        <v>70</v>
      </c>
    </row>
    <row r="15" spans="2:8" ht="24" x14ac:dyDescent="0.25">
      <c r="B15" s="10" t="s">
        <v>71</v>
      </c>
      <c r="C15" s="18">
        <v>0.12</v>
      </c>
      <c r="H15" s="12" t="s">
        <v>72</v>
      </c>
    </row>
    <row r="16" spans="2:8" x14ac:dyDescent="0.25">
      <c r="B16" s="10" t="s">
        <v>73</v>
      </c>
      <c r="C16" s="18">
        <v>0.2</v>
      </c>
      <c r="H16" s="12" t="s">
        <v>74</v>
      </c>
    </row>
    <row r="17" spans="2:8" x14ac:dyDescent="0.25">
      <c r="B17" s="10" t="s">
        <v>75</v>
      </c>
      <c r="C17" s="18">
        <v>0.15</v>
      </c>
      <c r="H17" s="12" t="s">
        <v>76</v>
      </c>
    </row>
    <row r="18" spans="2:8" x14ac:dyDescent="0.25">
      <c r="B18" s="10" t="s">
        <v>77</v>
      </c>
      <c r="C18" s="17">
        <v>9000</v>
      </c>
      <c r="H18" s="12" t="s">
        <v>78</v>
      </c>
    </row>
    <row r="19" spans="2:8" x14ac:dyDescent="0.25">
      <c r="B19" s="10" t="s">
        <v>79</v>
      </c>
      <c r="C19" s="17">
        <v>12000</v>
      </c>
      <c r="H19" s="12" t="s">
        <v>80</v>
      </c>
    </row>
    <row r="20" spans="2:8" x14ac:dyDescent="0.25">
      <c r="B20" s="10" t="s">
        <v>81</v>
      </c>
      <c r="C20" s="19">
        <v>0.99990000000000001</v>
      </c>
      <c r="H20" s="12" t="s">
        <v>82</v>
      </c>
    </row>
    <row r="21" spans="2:8" ht="15.75" customHeight="1" x14ac:dyDescent="0.25">
      <c r="B21" s="10" t="s">
        <v>83</v>
      </c>
      <c r="C21" s="20">
        <v>1</v>
      </c>
      <c r="H21" s="12" t="s">
        <v>84</v>
      </c>
    </row>
    <row r="22" spans="2:8" ht="15.75" customHeight="1" x14ac:dyDescent="0.25"/>
    <row r="23" spans="2:8" ht="15.75" customHeight="1" x14ac:dyDescent="0.25">
      <c r="B23" s="7" t="s">
        <v>85</v>
      </c>
      <c r="C23" s="8"/>
      <c r="D23" s="8"/>
      <c r="E23" s="8"/>
      <c r="F23" s="8"/>
      <c r="G23" s="8"/>
      <c r="H23" s="8"/>
    </row>
    <row r="24" spans="2:8" ht="15.75" customHeight="1" x14ac:dyDescent="0.25">
      <c r="B24" s="9" t="s">
        <v>86</v>
      </c>
      <c r="C24" s="9" t="s">
        <v>42</v>
      </c>
      <c r="D24" s="9" t="s">
        <v>44</v>
      </c>
      <c r="E24" s="9" t="s">
        <v>46</v>
      </c>
      <c r="F24" s="9" t="s">
        <v>47</v>
      </c>
      <c r="G24" s="9" t="s">
        <v>48</v>
      </c>
      <c r="H24" s="9" t="s">
        <v>87</v>
      </c>
    </row>
    <row r="25" spans="2:8" ht="15.75" customHeight="1" x14ac:dyDescent="0.25">
      <c r="B25" s="10" t="s">
        <v>88</v>
      </c>
      <c r="C25" s="21">
        <v>1</v>
      </c>
      <c r="D25" s="21">
        <v>1</v>
      </c>
      <c r="E25" s="21">
        <v>1</v>
      </c>
      <c r="F25" s="21">
        <v>1</v>
      </c>
      <c r="G25" s="21">
        <v>1</v>
      </c>
      <c r="H25" s="12" t="s">
        <v>89</v>
      </c>
    </row>
    <row r="26" spans="2:8" ht="15.75" customHeight="1" x14ac:dyDescent="0.25">
      <c r="B26" s="10" t="s">
        <v>90</v>
      </c>
      <c r="C26" s="21">
        <v>1</v>
      </c>
      <c r="D26" s="21">
        <f t="shared" ref="D26:G26" si="1">C26*(1+$C$14)</f>
        <v>1.08</v>
      </c>
      <c r="E26" s="21">
        <f t="shared" si="1"/>
        <v>1.1664000000000001</v>
      </c>
      <c r="F26" s="21">
        <f t="shared" si="1"/>
        <v>1.2597120000000002</v>
      </c>
      <c r="G26" s="21">
        <f t="shared" si="1"/>
        <v>1.3604889600000003</v>
      </c>
      <c r="H26" s="12" t="s">
        <v>91</v>
      </c>
    </row>
    <row r="27" spans="2:8" ht="15.75" customHeight="1" x14ac:dyDescent="0.25">
      <c r="B27" s="10" t="s">
        <v>92</v>
      </c>
      <c r="C27" s="21">
        <v>1</v>
      </c>
      <c r="D27" s="21">
        <f t="shared" ref="D27:G27" si="2">C27*(1+$C$15)</f>
        <v>1.1200000000000001</v>
      </c>
      <c r="E27" s="21">
        <f t="shared" si="2"/>
        <v>1.2544000000000002</v>
      </c>
      <c r="F27" s="21">
        <f t="shared" si="2"/>
        <v>1.4049280000000004</v>
      </c>
      <c r="G27" s="21">
        <f t="shared" si="2"/>
        <v>1.5735193600000006</v>
      </c>
      <c r="H27" s="12" t="s">
        <v>93</v>
      </c>
    </row>
    <row r="28" spans="2:8" ht="15.75" customHeight="1" x14ac:dyDescent="0.25">
      <c r="B28" s="10" t="s">
        <v>64</v>
      </c>
      <c r="C28" s="21">
        <f t="shared" ref="C28:G28" si="3">C7/$C$7</f>
        <v>1</v>
      </c>
      <c r="D28" s="21">
        <f t="shared" si="3"/>
        <v>4</v>
      </c>
      <c r="E28" s="21">
        <f t="shared" si="3"/>
        <v>10</v>
      </c>
      <c r="F28" s="21">
        <f t="shared" si="3"/>
        <v>16.666666666666668</v>
      </c>
      <c r="G28" s="21">
        <f t="shared" si="3"/>
        <v>23.333333333333332</v>
      </c>
      <c r="H28" s="12" t="s">
        <v>94</v>
      </c>
    </row>
    <row r="29" spans="2:8" ht="15.75" customHeight="1" x14ac:dyDescent="0.25">
      <c r="B29" s="10" t="s">
        <v>95</v>
      </c>
      <c r="C29" s="21">
        <f t="shared" ref="C29:G29" si="4">C8/$C$8</f>
        <v>1</v>
      </c>
      <c r="D29" s="21">
        <f t="shared" si="4"/>
        <v>6</v>
      </c>
      <c r="E29" s="21">
        <f t="shared" si="4"/>
        <v>20</v>
      </c>
      <c r="F29" s="21">
        <f t="shared" si="4"/>
        <v>40</v>
      </c>
      <c r="G29" s="21">
        <f t="shared" si="4"/>
        <v>60</v>
      </c>
      <c r="H29" s="12" t="s">
        <v>96</v>
      </c>
    </row>
    <row r="30" spans="2:8" ht="15.75" customHeight="1" x14ac:dyDescent="0.25">
      <c r="B30" s="10" t="s">
        <v>97</v>
      </c>
      <c r="C30" s="21">
        <f t="shared" ref="C30:G30" si="5">C10/$C$10</f>
        <v>1</v>
      </c>
      <c r="D30" s="21">
        <f t="shared" si="5"/>
        <v>6.24</v>
      </c>
      <c r="E30" s="21">
        <f t="shared" si="5"/>
        <v>21.6</v>
      </c>
      <c r="F30" s="21">
        <f t="shared" si="5"/>
        <v>44.8</v>
      </c>
      <c r="G30" s="21">
        <f t="shared" si="5"/>
        <v>69.599999999999994</v>
      </c>
      <c r="H30" s="12" t="s">
        <v>98</v>
      </c>
    </row>
    <row r="31" spans="2:8" ht="15.75" customHeight="1" x14ac:dyDescent="0.25"/>
    <row r="32" spans="2:8" ht="15" customHeight="1" x14ac:dyDescent="0.25">
      <c r="B32" s="37" t="s">
        <v>99</v>
      </c>
      <c r="C32" s="36"/>
      <c r="D32" s="36"/>
      <c r="E32" s="36"/>
      <c r="F32" s="36"/>
      <c r="G32" s="36"/>
      <c r="H32" s="36"/>
    </row>
    <row r="33" spans="2:8" ht="15.75" customHeight="1" x14ac:dyDescent="0.25">
      <c r="B33" s="36"/>
      <c r="C33" s="36"/>
      <c r="D33" s="36"/>
      <c r="E33" s="36"/>
      <c r="F33" s="36"/>
      <c r="G33" s="36"/>
      <c r="H33" s="36"/>
    </row>
    <row r="34" spans="2:8" ht="15.75" customHeight="1" x14ac:dyDescent="0.25"/>
    <row r="35" spans="2:8" ht="15.75" customHeight="1" x14ac:dyDescent="0.25"/>
    <row r="36" spans="2:8" ht="15.75" customHeight="1" x14ac:dyDescent="0.25"/>
    <row r="37" spans="2:8" ht="15.75" customHeight="1" x14ac:dyDescent="0.25"/>
    <row r="38" spans="2:8" ht="15.75" customHeight="1" x14ac:dyDescent="0.25"/>
    <row r="39" spans="2:8" ht="15.75" customHeight="1" x14ac:dyDescent="0.25"/>
    <row r="40" spans="2:8" ht="15.75" customHeight="1" x14ac:dyDescent="0.25"/>
    <row r="41" spans="2:8" ht="15.75" customHeight="1" x14ac:dyDescent="0.25"/>
    <row r="42" spans="2:8" ht="15.75" customHeight="1" x14ac:dyDescent="0.25"/>
    <row r="43" spans="2:8" ht="15.75" customHeight="1" x14ac:dyDescent="0.25"/>
    <row r="44" spans="2:8" ht="15.75" customHeight="1" x14ac:dyDescent="0.25"/>
    <row r="45" spans="2:8" ht="15.75" customHeight="1" x14ac:dyDescent="0.25"/>
    <row r="46" spans="2:8" ht="15.75" customHeight="1" x14ac:dyDescent="0.25"/>
    <row r="47" spans="2:8" ht="15.75" customHeight="1" x14ac:dyDescent="0.25"/>
    <row r="48" spans="2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32:H33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1000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44" sqref="B44"/>
    </sheetView>
  </sheetViews>
  <sheetFormatPr defaultColWidth="14.42578125" defaultRowHeight="15" customHeight="1" x14ac:dyDescent="0.25"/>
  <cols>
    <col min="1" max="1" width="3" customWidth="1"/>
    <col min="2" max="2" width="44" customWidth="1"/>
    <col min="3" max="3" width="16" customWidth="1"/>
    <col min="4" max="4" width="15" customWidth="1"/>
    <col min="5" max="10" width="14" customWidth="1"/>
    <col min="11" max="11" width="10" customWidth="1"/>
    <col min="12" max="12" width="46" customWidth="1"/>
    <col min="13" max="26" width="8.7109375" customWidth="1"/>
  </cols>
  <sheetData>
    <row r="2" spans="2:12" ht="18" x14ac:dyDescent="0.25">
      <c r="B2" s="1" t="s">
        <v>1</v>
      </c>
    </row>
    <row r="3" spans="2:12" x14ac:dyDescent="0.25">
      <c r="B3" s="6" t="s">
        <v>5</v>
      </c>
    </row>
    <row r="5" spans="2:12" ht="31.5" customHeight="1" x14ac:dyDescent="0.25">
      <c r="B5" s="9" t="s">
        <v>41</v>
      </c>
      <c r="C5" s="9" t="s">
        <v>49</v>
      </c>
      <c r="D5" s="9" t="s">
        <v>52</v>
      </c>
      <c r="E5" s="9" t="s">
        <v>42</v>
      </c>
      <c r="F5" s="9" t="s">
        <v>44</v>
      </c>
      <c r="G5" s="9" t="s">
        <v>46</v>
      </c>
      <c r="H5" s="9" t="s">
        <v>47</v>
      </c>
      <c r="I5" s="9" t="s">
        <v>48</v>
      </c>
      <c r="J5" s="9" t="s">
        <v>60</v>
      </c>
      <c r="K5" s="9" t="s">
        <v>61</v>
      </c>
      <c r="L5" s="9" t="s">
        <v>50</v>
      </c>
    </row>
    <row r="6" spans="2:12" x14ac:dyDescent="0.25">
      <c r="B6" s="7" t="s">
        <v>62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2:12" x14ac:dyDescent="0.25">
      <c r="B7" s="10" t="s">
        <v>63</v>
      </c>
      <c r="C7" s="16" t="s">
        <v>64</v>
      </c>
      <c r="D7" s="17">
        <v>18525.259999999998</v>
      </c>
      <c r="E7" s="22">
        <f t="array" ref="E7">IF($D7="","",$D7*INDEX(Допущения!$C$25:$G$30,MATCH($C7,Допущения!$B$25:$B$30,0),1))</f>
        <v>18525.259999999998</v>
      </c>
      <c r="F7" s="22">
        <f t="array" ref="F7">IF($D7="","",$D7*INDEX(Допущения!$C$25:$G$30,MATCH($C7,Допущения!$B$25:$B$30,0),2))</f>
        <v>74101.039999999994</v>
      </c>
      <c r="G7" s="22">
        <f t="array" ref="G7">IF($D7="","",$D7*INDEX(Допущения!$C$25:$G$30,MATCH($C7,Допущения!$B$25:$B$30,0),3))</f>
        <v>185252.59999999998</v>
      </c>
      <c r="H7" s="22">
        <f t="array" ref="H7">IF($D7="","",$D7*INDEX(Допущения!$C$25:$G$30,MATCH($C7,Допущения!$B$25:$B$30,0),4))</f>
        <v>308754.33333333331</v>
      </c>
      <c r="I7" s="22">
        <f t="array" ref="I7">IF($D7="","",$D7*INDEX(Допущения!$C$25:$G$30,MATCH($C7,Допущения!$B$25:$B$30,0),5))</f>
        <v>432256.06666666659</v>
      </c>
      <c r="J7" s="22">
        <f t="shared" ref="J7:J14" si="0">SUM(E7:I7)</f>
        <v>1018889.2999999998</v>
      </c>
      <c r="K7" s="23"/>
      <c r="L7" s="24" t="s">
        <v>100</v>
      </c>
    </row>
    <row r="8" spans="2:12" x14ac:dyDescent="0.25">
      <c r="B8" s="10" t="s">
        <v>101</v>
      </c>
      <c r="C8" s="16" t="s">
        <v>64</v>
      </c>
      <c r="D8" s="17">
        <v>27787.9</v>
      </c>
      <c r="E8" s="22">
        <f t="array" ref="E8">IF($D8="","",$D8*INDEX(Допущения!$C$25:$G$30,MATCH($C8,Допущения!$B$25:$B$30,0),1))</f>
        <v>27787.9</v>
      </c>
      <c r="F8" s="22">
        <f t="array" ref="F8">IF($D8="","",$D8*INDEX(Допущения!$C$25:$G$30,MATCH($C8,Допущения!$B$25:$B$30,0),2))</f>
        <v>111151.6</v>
      </c>
      <c r="G8" s="22">
        <f t="array" ref="G8">IF($D8="","",$D8*INDEX(Допущения!$C$25:$G$30,MATCH($C8,Допущения!$B$25:$B$30,0),3))</f>
        <v>277879</v>
      </c>
      <c r="H8" s="22">
        <f t="array" ref="H8">IF($D8="","",$D8*INDEX(Допущения!$C$25:$G$30,MATCH($C8,Допущения!$B$25:$B$30,0),4))</f>
        <v>463131.66666666674</v>
      </c>
      <c r="I8" s="22">
        <f t="array" ref="I8">IF($D8="","",$D8*INDEX(Допущения!$C$25:$G$30,MATCH($C8,Допущения!$B$25:$B$30,0),5))</f>
        <v>648384.33333333337</v>
      </c>
      <c r="J8" s="22">
        <f t="shared" si="0"/>
        <v>1528334.5</v>
      </c>
      <c r="K8" s="23"/>
      <c r="L8" s="24" t="s">
        <v>102</v>
      </c>
    </row>
    <row r="9" spans="2:12" x14ac:dyDescent="0.25">
      <c r="B9" s="10" t="s">
        <v>103</v>
      </c>
      <c r="C9" s="16" t="s">
        <v>64</v>
      </c>
      <c r="D9" s="17">
        <v>1800</v>
      </c>
      <c r="E9" s="22">
        <f t="array" ref="E9">IF($D9="","",$D9*INDEX(Допущения!$C$25:$G$30,MATCH($C9,Допущения!$B$25:$B$30,0),1))</f>
        <v>1800</v>
      </c>
      <c r="F9" s="22">
        <f t="array" ref="F9">IF($D9="","",$D9*INDEX(Допущения!$C$25:$G$30,MATCH($C9,Допущения!$B$25:$B$30,0),2))</f>
        <v>7200</v>
      </c>
      <c r="G9" s="22">
        <f t="array" ref="G9">IF($D9="","",$D9*INDEX(Допущения!$C$25:$G$30,MATCH($C9,Допущения!$B$25:$B$30,0),3))</f>
        <v>18000</v>
      </c>
      <c r="H9" s="22">
        <f t="array" ref="H9">IF($D9="","",$D9*INDEX(Допущения!$C$25:$G$30,MATCH($C9,Допущения!$B$25:$B$30,0),4))</f>
        <v>30000.000000000004</v>
      </c>
      <c r="I9" s="22">
        <f t="array" ref="I9">IF($D9="","",$D9*INDEX(Допущения!$C$25:$G$30,MATCH($C9,Допущения!$B$25:$B$30,0),5))</f>
        <v>42000</v>
      </c>
      <c r="J9" s="22">
        <f t="shared" si="0"/>
        <v>99000</v>
      </c>
      <c r="K9" s="23"/>
      <c r="L9" s="24" t="s">
        <v>104</v>
      </c>
    </row>
    <row r="10" spans="2:12" x14ac:dyDescent="0.25">
      <c r="B10" s="10" t="s">
        <v>105</v>
      </c>
      <c r="C10" s="16" t="s">
        <v>64</v>
      </c>
      <c r="D10" s="17">
        <v>5430</v>
      </c>
      <c r="E10" s="22">
        <f t="array" ref="E10">IF($D10="","",$D10*INDEX(Допущения!$C$25:$G$30,MATCH($C10,Допущения!$B$25:$B$30,0),1))</f>
        <v>5430</v>
      </c>
      <c r="F10" s="22">
        <f t="array" ref="F10">IF($D10="","",$D10*INDEX(Допущения!$C$25:$G$30,MATCH($C10,Допущения!$B$25:$B$30,0),2))</f>
        <v>21720</v>
      </c>
      <c r="G10" s="22">
        <f t="array" ref="G10">IF($D10="","",$D10*INDEX(Допущения!$C$25:$G$30,MATCH($C10,Допущения!$B$25:$B$30,0),3))</f>
        <v>54300</v>
      </c>
      <c r="H10" s="22">
        <f t="array" ref="H10">IF($D10="","",$D10*INDEX(Допущения!$C$25:$G$30,MATCH($C10,Допущения!$B$25:$B$30,0),4))</f>
        <v>90500</v>
      </c>
      <c r="I10" s="22">
        <f t="array" ref="I10">IF($D10="","",$D10*INDEX(Допущения!$C$25:$G$30,MATCH($C10,Допущения!$B$25:$B$30,0),5))</f>
        <v>126700</v>
      </c>
      <c r="J10" s="22">
        <f t="shared" si="0"/>
        <v>298650</v>
      </c>
      <c r="K10" s="23"/>
      <c r="L10" s="24" t="s">
        <v>106</v>
      </c>
    </row>
    <row r="11" spans="2:12" x14ac:dyDescent="0.25">
      <c r="B11" s="10" t="s">
        <v>107</v>
      </c>
      <c r="C11" s="16" t="s">
        <v>64</v>
      </c>
      <c r="D11" s="17">
        <v>0</v>
      </c>
      <c r="E11" s="22">
        <f t="array" ref="E11">IF($D11="","",$D11*INDEX(Допущения!$C$25:$G$30,MATCH($C11,Допущения!$B$25:$B$30,0),1))</f>
        <v>0</v>
      </c>
      <c r="F11" s="22">
        <f t="array" ref="F11">IF($D11="","",$D11*INDEX(Допущения!$C$25:$G$30,MATCH($C11,Допущения!$B$25:$B$30,0),2))</f>
        <v>0</v>
      </c>
      <c r="G11" s="22">
        <f t="array" ref="G11">IF($D11="","",$D11*INDEX(Допущения!$C$25:$G$30,MATCH($C11,Допущения!$B$25:$B$30,0),3))</f>
        <v>0</v>
      </c>
      <c r="H11" s="22">
        <f t="array" ref="H11">IF($D11="","",$D11*INDEX(Допущения!$C$25:$G$30,MATCH($C11,Допущения!$B$25:$B$30,0),4))</f>
        <v>0</v>
      </c>
      <c r="I11" s="22">
        <f t="array" ref="I11">IF($D11="","",$D11*INDEX(Допущения!$C$25:$G$30,MATCH($C11,Допущения!$B$25:$B$30,0),5))</f>
        <v>0</v>
      </c>
      <c r="J11" s="22">
        <f t="shared" si="0"/>
        <v>0</v>
      </c>
      <c r="K11" s="23"/>
      <c r="L11" s="24" t="s">
        <v>108</v>
      </c>
    </row>
    <row r="12" spans="2:12" x14ac:dyDescent="0.25">
      <c r="B12" s="10" t="s">
        <v>109</v>
      </c>
      <c r="C12" s="16" t="s">
        <v>64</v>
      </c>
      <c r="D12" s="17">
        <v>0</v>
      </c>
      <c r="E12" s="22">
        <f t="array" ref="E12">IF($D12="","",$D12*INDEX(Допущения!$C$25:$G$30,MATCH($C12,Допущения!$B$25:$B$30,0),1))</f>
        <v>0</v>
      </c>
      <c r="F12" s="22">
        <f t="array" ref="F12">IF($D12="","",$D12*INDEX(Допущения!$C$25:$G$30,MATCH($C12,Допущения!$B$25:$B$30,0),2))</f>
        <v>0</v>
      </c>
      <c r="G12" s="22">
        <f t="array" ref="G12">IF($D12="","",$D12*INDEX(Допущения!$C$25:$G$30,MATCH($C12,Допущения!$B$25:$B$30,0),3))</f>
        <v>0</v>
      </c>
      <c r="H12" s="22">
        <f t="array" ref="H12">IF($D12="","",$D12*INDEX(Допущения!$C$25:$G$30,MATCH($C12,Допущения!$B$25:$B$30,0),4))</f>
        <v>0</v>
      </c>
      <c r="I12" s="22">
        <f t="array" ref="I12">IF($D12="","",$D12*INDEX(Допущения!$C$25:$G$30,MATCH($C12,Допущения!$B$25:$B$30,0),5))</f>
        <v>0</v>
      </c>
      <c r="J12" s="22">
        <f t="shared" si="0"/>
        <v>0</v>
      </c>
      <c r="K12" s="23"/>
      <c r="L12" s="24" t="s">
        <v>110</v>
      </c>
    </row>
    <row r="13" spans="2:12" x14ac:dyDescent="0.25">
      <c r="B13" s="10" t="s">
        <v>111</v>
      </c>
      <c r="C13" s="16" t="s">
        <v>90</v>
      </c>
      <c r="D13" s="17">
        <v>11152.83</v>
      </c>
      <c r="E13" s="22">
        <f t="array" ref="E13">IF($D13="","",$D13*INDEX(Допущения!$C$25:$G$30,MATCH($C13,Допущения!$B$25:$B$30,0),1))</f>
        <v>11152.83</v>
      </c>
      <c r="F13" s="22">
        <f t="array" ref="F13">IF($D13="","",$D13*INDEX(Допущения!$C$25:$G$30,MATCH($C13,Допущения!$B$25:$B$30,0),2))</f>
        <v>12045.056400000001</v>
      </c>
      <c r="G13" s="22">
        <f t="array" ref="G13">IF($D13="","",$D13*INDEX(Допущения!$C$25:$G$30,MATCH($C13,Допущения!$B$25:$B$30,0),3))</f>
        <v>13008.660912000001</v>
      </c>
      <c r="H13" s="22">
        <f t="array" ref="H13">IF($D13="","",$D13*INDEX(Допущения!$C$25:$G$30,MATCH($C13,Допущения!$B$25:$B$30,0),4))</f>
        <v>14049.353784960002</v>
      </c>
      <c r="I13" s="22">
        <f t="array" ref="I13">IF($D13="","",$D13*INDEX(Допущения!$C$25:$G$30,MATCH($C13,Допущения!$B$25:$B$30,0),5))</f>
        <v>15173.302087756803</v>
      </c>
      <c r="J13" s="22">
        <f t="shared" si="0"/>
        <v>65429.203184716811</v>
      </c>
      <c r="K13" s="23"/>
      <c r="L13" s="24" t="s">
        <v>112</v>
      </c>
    </row>
    <row r="14" spans="2:12" x14ac:dyDescent="0.25">
      <c r="B14" s="10"/>
      <c r="C14" s="16" t="s">
        <v>88</v>
      </c>
      <c r="D14" s="17">
        <v>0</v>
      </c>
      <c r="E14" s="22">
        <f t="array" ref="E14">IF($D14="","",$D14*INDEX(Допущения!$C$25:$G$30,MATCH($C14,Допущения!$B$25:$B$30,0),1))</f>
        <v>0</v>
      </c>
      <c r="F14" s="22">
        <f t="array" ref="F14">IF($D14="","",$D14*INDEX(Допущения!$C$25:$G$30,MATCH($C14,Допущения!$B$25:$B$30,0),2))</f>
        <v>0</v>
      </c>
      <c r="G14" s="22">
        <f t="array" ref="G14">IF($D14="","",$D14*INDEX(Допущения!$C$25:$G$30,MATCH($C14,Допущения!$B$25:$B$30,0),3))</f>
        <v>0</v>
      </c>
      <c r="H14" s="22">
        <f t="array" ref="H14">IF($D14="","",$D14*INDEX(Допущения!$C$25:$G$30,MATCH($C14,Допущения!$B$25:$B$30,0),4))</f>
        <v>0</v>
      </c>
      <c r="I14" s="22">
        <f t="array" ref="I14">IF($D14="","",$D14*INDEX(Допущения!$C$25:$G$30,MATCH($C14,Допущения!$B$25:$B$30,0),5))</f>
        <v>0</v>
      </c>
      <c r="J14" s="22">
        <f t="shared" si="0"/>
        <v>0</v>
      </c>
      <c r="K14" s="23"/>
      <c r="L14" s="24" t="s">
        <v>113</v>
      </c>
    </row>
    <row r="15" spans="2:12" x14ac:dyDescent="0.25">
      <c r="B15" s="25" t="s">
        <v>114</v>
      </c>
      <c r="C15" s="26"/>
      <c r="D15" s="26"/>
      <c r="E15" s="27">
        <f t="shared" ref="E15:J15" si="1">SUM(E7:E14)</f>
        <v>64695.990000000005</v>
      </c>
      <c r="F15" s="27">
        <f t="shared" si="1"/>
        <v>226217.69640000002</v>
      </c>
      <c r="G15" s="27">
        <f t="shared" si="1"/>
        <v>548440.26091199997</v>
      </c>
      <c r="H15" s="27">
        <f t="shared" si="1"/>
        <v>906435.35378496</v>
      </c>
      <c r="I15" s="27">
        <f t="shared" si="1"/>
        <v>1264513.7020877567</v>
      </c>
      <c r="J15" s="27">
        <f t="shared" si="1"/>
        <v>3010303.0031847167</v>
      </c>
      <c r="K15" s="28">
        <f>IFERROR(J15/$J$51,0)</f>
        <v>7.9834206777594133E-2</v>
      </c>
      <c r="L15" s="26"/>
    </row>
    <row r="16" spans="2:12" x14ac:dyDescent="0.25">
      <c r="C16" s="29"/>
    </row>
    <row r="17" spans="2:12" x14ac:dyDescent="0.25">
      <c r="B17" s="7" t="s">
        <v>115</v>
      </c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2:12" x14ac:dyDescent="0.25">
      <c r="B18" s="10" t="s">
        <v>116</v>
      </c>
      <c r="C18" s="16" t="s">
        <v>64</v>
      </c>
      <c r="D18" s="17">
        <v>1200</v>
      </c>
      <c r="E18" s="22">
        <f t="array" ref="E18">IF($D18="","",$D18*INDEX(Допущения!$C$25:$G$30,MATCH($C18,Допущения!$B$25:$B$30,0),1))</f>
        <v>1200</v>
      </c>
      <c r="F18" s="22">
        <f t="array" ref="F18">IF($D18="","",$D18*INDEX(Допущения!$C$25:$G$30,MATCH($C18,Допущения!$B$25:$B$30,0),2))</f>
        <v>4800</v>
      </c>
      <c r="G18" s="22">
        <f t="array" ref="G18">IF($D18="","",$D18*INDEX(Допущения!$C$25:$G$30,MATCH($C18,Допущения!$B$25:$B$30,0),3))</f>
        <v>12000</v>
      </c>
      <c r="H18" s="22">
        <f t="array" ref="H18">IF($D18="","",$D18*INDEX(Допущения!$C$25:$G$30,MATCH($C18,Допущения!$B$25:$B$30,0),4))</f>
        <v>20000</v>
      </c>
      <c r="I18" s="22">
        <f t="array" ref="I18">IF($D18="","",$D18*INDEX(Допущения!$C$25:$G$30,MATCH($C18,Допущения!$B$25:$B$30,0),5))</f>
        <v>28000</v>
      </c>
      <c r="J18" s="22">
        <f t="shared" ref="J18:J23" si="2">SUM(E18:I18)</f>
        <v>66000</v>
      </c>
      <c r="K18" s="23"/>
      <c r="L18" s="24" t="s">
        <v>117</v>
      </c>
    </row>
    <row r="19" spans="2:12" x14ac:dyDescent="0.25">
      <c r="B19" s="10" t="s">
        <v>118</v>
      </c>
      <c r="C19" s="16" t="s">
        <v>90</v>
      </c>
      <c r="D19" s="17">
        <v>600</v>
      </c>
      <c r="E19" s="22">
        <f t="array" ref="E19">IF($D19="","",$D19*INDEX(Допущения!$C$25:$G$30,MATCH($C19,Допущения!$B$25:$B$30,0),1))</f>
        <v>600</v>
      </c>
      <c r="F19" s="22">
        <f t="array" ref="F19">IF($D19="","",$D19*INDEX(Допущения!$C$25:$G$30,MATCH($C19,Допущения!$B$25:$B$30,0),2))</f>
        <v>648</v>
      </c>
      <c r="G19" s="22">
        <f t="array" ref="G19">IF($D19="","",$D19*INDEX(Допущения!$C$25:$G$30,MATCH($C19,Допущения!$B$25:$B$30,0),3))</f>
        <v>699.84</v>
      </c>
      <c r="H19" s="22">
        <f t="array" ref="H19">IF($D19="","",$D19*INDEX(Допущения!$C$25:$G$30,MATCH($C19,Допущения!$B$25:$B$30,0),4))</f>
        <v>755.82720000000006</v>
      </c>
      <c r="I19" s="22">
        <f t="array" ref="I19">IF($D19="","",$D19*INDEX(Допущения!$C$25:$G$30,MATCH($C19,Допущения!$B$25:$B$30,0),5))</f>
        <v>816.29337600000019</v>
      </c>
      <c r="J19" s="22">
        <f t="shared" si="2"/>
        <v>3519.9605760000004</v>
      </c>
      <c r="K19" s="23"/>
      <c r="L19" s="24" t="s">
        <v>119</v>
      </c>
    </row>
    <row r="20" spans="2:12" x14ac:dyDescent="0.25">
      <c r="B20" s="10" t="s">
        <v>120</v>
      </c>
      <c r="C20" s="16" t="s">
        <v>64</v>
      </c>
      <c r="D20" s="17">
        <v>0</v>
      </c>
      <c r="E20" s="22">
        <f t="array" ref="E20">IF($D20="","",$D20*INDEX(Допущения!$C$25:$G$30,MATCH($C20,Допущения!$B$25:$B$30,0),1))</f>
        <v>0</v>
      </c>
      <c r="F20" s="22">
        <f t="array" ref="F20">IF($D20="","",$D20*INDEX(Допущения!$C$25:$G$30,MATCH($C20,Допущения!$B$25:$B$30,0),2))</f>
        <v>0</v>
      </c>
      <c r="G20" s="22">
        <f t="array" ref="G20">IF($D20="","",$D20*INDEX(Допущения!$C$25:$G$30,MATCH($C20,Допущения!$B$25:$B$30,0),3))</f>
        <v>0</v>
      </c>
      <c r="H20" s="22">
        <f t="array" ref="H20">IF($D20="","",$D20*INDEX(Допущения!$C$25:$G$30,MATCH($C20,Допущения!$B$25:$B$30,0),4))</f>
        <v>0</v>
      </c>
      <c r="I20" s="22">
        <f t="array" ref="I20">IF($D20="","",$D20*INDEX(Допущения!$C$25:$G$30,MATCH($C20,Допущения!$B$25:$B$30,0),5))</f>
        <v>0</v>
      </c>
      <c r="J20" s="22">
        <f t="shared" si="2"/>
        <v>0</v>
      </c>
      <c r="K20" s="23"/>
      <c r="L20" s="24" t="s">
        <v>121</v>
      </c>
    </row>
    <row r="21" spans="2:12" ht="15.75" customHeight="1" x14ac:dyDescent="0.25">
      <c r="B21" s="10" t="s">
        <v>122</v>
      </c>
      <c r="C21" s="16" t="s">
        <v>90</v>
      </c>
      <c r="D21" s="17">
        <v>600</v>
      </c>
      <c r="E21" s="22">
        <f t="array" ref="E21">IF($D21="","",$D21*INDEX(Допущения!$C$25:$G$30,MATCH($C21,Допущения!$B$25:$B$30,0),1))</f>
        <v>600</v>
      </c>
      <c r="F21" s="22">
        <f t="array" ref="F21">IF($D21="","",$D21*INDEX(Допущения!$C$25:$G$30,MATCH($C21,Допущения!$B$25:$B$30,0),2))</f>
        <v>648</v>
      </c>
      <c r="G21" s="22">
        <f t="array" ref="G21">IF($D21="","",$D21*INDEX(Допущения!$C$25:$G$30,MATCH($C21,Допущения!$B$25:$B$30,0),3))</f>
        <v>699.84</v>
      </c>
      <c r="H21" s="22">
        <f t="array" ref="H21">IF($D21="","",$D21*INDEX(Допущения!$C$25:$G$30,MATCH($C21,Допущения!$B$25:$B$30,0),4))</f>
        <v>755.82720000000006</v>
      </c>
      <c r="I21" s="22">
        <f t="array" ref="I21">IF($D21="","",$D21*INDEX(Допущения!$C$25:$G$30,MATCH($C21,Допущения!$B$25:$B$30,0),5))</f>
        <v>816.29337600000019</v>
      </c>
      <c r="J21" s="22">
        <f t="shared" si="2"/>
        <v>3519.9605760000004</v>
      </c>
      <c r="K21" s="23"/>
      <c r="L21" s="24" t="s">
        <v>123</v>
      </c>
    </row>
    <row r="22" spans="2:12" ht="15.75" customHeight="1" x14ac:dyDescent="0.25">
      <c r="B22" s="10" t="s">
        <v>124</v>
      </c>
      <c r="C22" s="16" t="s">
        <v>90</v>
      </c>
      <c r="D22" s="17">
        <v>0</v>
      </c>
      <c r="E22" s="22">
        <f t="array" ref="E22">IF($D22="","",$D22*INDEX(Допущения!$C$25:$G$30,MATCH($C22,Допущения!$B$25:$B$30,0),1))</f>
        <v>0</v>
      </c>
      <c r="F22" s="22">
        <f t="array" ref="F22">IF($D22="","",$D22*INDEX(Допущения!$C$25:$G$30,MATCH($C22,Допущения!$B$25:$B$30,0),2))</f>
        <v>0</v>
      </c>
      <c r="G22" s="22">
        <f t="array" ref="G22">IF($D22="","",$D22*INDEX(Допущения!$C$25:$G$30,MATCH($C22,Допущения!$B$25:$B$30,0),3))</f>
        <v>0</v>
      </c>
      <c r="H22" s="22">
        <f t="array" ref="H22">IF($D22="","",$D22*INDEX(Допущения!$C$25:$G$30,MATCH($C22,Допущения!$B$25:$B$30,0),4))</f>
        <v>0</v>
      </c>
      <c r="I22" s="22">
        <f t="array" ref="I22">IF($D22="","",$D22*INDEX(Допущения!$C$25:$G$30,MATCH($C22,Допущения!$B$25:$B$30,0),5))</f>
        <v>0</v>
      </c>
      <c r="J22" s="22">
        <f t="shared" si="2"/>
        <v>0</v>
      </c>
      <c r="K22" s="23"/>
      <c r="L22" s="24" t="s">
        <v>125</v>
      </c>
    </row>
    <row r="23" spans="2:12" ht="15.75" customHeight="1" x14ac:dyDescent="0.25">
      <c r="B23" s="10"/>
      <c r="C23" s="16" t="s">
        <v>88</v>
      </c>
      <c r="D23" s="17">
        <v>0</v>
      </c>
      <c r="E23" s="22">
        <f t="array" ref="E23">IF($D23="","",$D23*INDEX(Допущения!$C$25:$G$30,MATCH($C23,Допущения!$B$25:$B$30,0),1))</f>
        <v>0</v>
      </c>
      <c r="F23" s="22">
        <f t="array" ref="F23">IF($D23="","",$D23*INDEX(Допущения!$C$25:$G$30,MATCH($C23,Допущения!$B$25:$B$30,0),2))</f>
        <v>0</v>
      </c>
      <c r="G23" s="22">
        <f t="array" ref="G23">IF($D23="","",$D23*INDEX(Допущения!$C$25:$G$30,MATCH($C23,Допущения!$B$25:$B$30,0),3))</f>
        <v>0</v>
      </c>
      <c r="H23" s="22">
        <f t="array" ref="H23">IF($D23="","",$D23*INDEX(Допущения!$C$25:$G$30,MATCH($C23,Допущения!$B$25:$B$30,0),4))</f>
        <v>0</v>
      </c>
      <c r="I23" s="22">
        <f t="array" ref="I23">IF($D23="","",$D23*INDEX(Допущения!$C$25:$G$30,MATCH($C23,Допущения!$B$25:$B$30,0),5))</f>
        <v>0</v>
      </c>
      <c r="J23" s="22">
        <f t="shared" si="2"/>
        <v>0</v>
      </c>
      <c r="K23" s="23"/>
      <c r="L23" s="24" t="s">
        <v>113</v>
      </c>
    </row>
    <row r="24" spans="2:12" ht="15.75" customHeight="1" x14ac:dyDescent="0.25">
      <c r="B24" s="25" t="s">
        <v>114</v>
      </c>
      <c r="C24" s="26"/>
      <c r="D24" s="26"/>
      <c r="E24" s="27">
        <f t="shared" ref="E24:J24" si="3">SUM(E18:E23)</f>
        <v>2400</v>
      </c>
      <c r="F24" s="27">
        <f t="shared" si="3"/>
        <v>6096</v>
      </c>
      <c r="G24" s="27">
        <f t="shared" si="3"/>
        <v>13399.68</v>
      </c>
      <c r="H24" s="27">
        <f t="shared" si="3"/>
        <v>21511.654399999999</v>
      </c>
      <c r="I24" s="27">
        <f t="shared" si="3"/>
        <v>29632.586752000003</v>
      </c>
      <c r="J24" s="27">
        <f t="shared" si="3"/>
        <v>73039.921151999995</v>
      </c>
      <c r="K24" s="28">
        <f>IFERROR(J24/$J$51,0)</f>
        <v>1.9370422718573538E-3</v>
      </c>
      <c r="L24" s="26"/>
    </row>
    <row r="25" spans="2:12" ht="15.75" customHeight="1" x14ac:dyDescent="0.25">
      <c r="C25" s="29"/>
    </row>
    <row r="26" spans="2:12" ht="15.75" customHeight="1" x14ac:dyDescent="0.25">
      <c r="B26" s="7" t="s">
        <v>126</v>
      </c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2:12" ht="15.75" customHeight="1" x14ac:dyDescent="0.25">
      <c r="B27" s="10" t="s">
        <v>127</v>
      </c>
      <c r="C27" s="16" t="s">
        <v>97</v>
      </c>
      <c r="D27" s="17">
        <v>137500</v>
      </c>
      <c r="E27" s="22">
        <f t="array" ref="E27">IF($D27="","",$D27*INDEX(Допущения!$C$25:$G$30,MATCH($C27,Допущения!$B$25:$B$30,0),1))</f>
        <v>137500</v>
      </c>
      <c r="F27" s="22">
        <f t="array" ref="F27">IF($D27="","",$D27*INDEX(Допущения!$C$25:$G$30,MATCH($C27,Допущения!$B$25:$B$30,0),2))</f>
        <v>858000</v>
      </c>
      <c r="G27" s="22">
        <f t="array" ref="G27">IF($D27="","",$D27*INDEX(Допущения!$C$25:$G$30,MATCH($C27,Допущения!$B$25:$B$30,0),3))</f>
        <v>2970000</v>
      </c>
      <c r="H27" s="22">
        <f t="array" ref="H27">IF($D27="","",$D27*INDEX(Допущения!$C$25:$G$30,MATCH($C27,Допущения!$B$25:$B$30,0),4))</f>
        <v>6160000</v>
      </c>
      <c r="I27" s="22">
        <f t="array" ref="I27">IF($D27="","",$D27*INDEX(Допущения!$C$25:$G$30,MATCH($C27,Допущения!$B$25:$B$30,0),5))</f>
        <v>9570000</v>
      </c>
      <c r="J27" s="22">
        <f t="shared" ref="J27:J31" si="4">SUM(E27:I27)</f>
        <v>19695500</v>
      </c>
      <c r="K27" s="23"/>
      <c r="L27" s="24" t="s">
        <v>128</v>
      </c>
    </row>
    <row r="28" spans="2:12" ht="15.75" customHeight="1" x14ac:dyDescent="0.25">
      <c r="B28" s="10" t="s">
        <v>129</v>
      </c>
      <c r="C28" s="16" t="s">
        <v>95</v>
      </c>
      <c r="D28" s="17">
        <v>18000</v>
      </c>
      <c r="E28" s="22">
        <f t="array" ref="E28">IF($D28="","",$D28*INDEX(Допущения!$C$25:$G$30,MATCH($C28,Допущения!$B$25:$B$30,0),1))</f>
        <v>18000</v>
      </c>
      <c r="F28" s="22">
        <f t="array" ref="F28">IF($D28="","",$D28*INDEX(Допущения!$C$25:$G$30,MATCH($C28,Допущения!$B$25:$B$30,0),2))</f>
        <v>108000</v>
      </c>
      <c r="G28" s="22">
        <f t="array" ref="G28">IF($D28="","",$D28*INDEX(Допущения!$C$25:$G$30,MATCH($C28,Допущения!$B$25:$B$30,0),3))</f>
        <v>360000</v>
      </c>
      <c r="H28" s="22">
        <f t="array" ref="H28">IF($D28="","",$D28*INDEX(Допущения!$C$25:$G$30,MATCH($C28,Допущения!$B$25:$B$30,0),4))</f>
        <v>720000</v>
      </c>
      <c r="I28" s="22">
        <f t="array" ref="I28">IF($D28="","",$D28*INDEX(Допущения!$C$25:$G$30,MATCH($C28,Допущения!$B$25:$B$30,0),5))</f>
        <v>1080000</v>
      </c>
      <c r="J28" s="22">
        <f t="shared" si="4"/>
        <v>2286000</v>
      </c>
      <c r="K28" s="23"/>
      <c r="L28" s="24" t="s">
        <v>130</v>
      </c>
    </row>
    <row r="29" spans="2:12" ht="15.75" customHeight="1" x14ac:dyDescent="0.25">
      <c r="B29" s="10" t="s">
        <v>131</v>
      </c>
      <c r="C29" s="16" t="s">
        <v>95</v>
      </c>
      <c r="D29" s="17">
        <v>7200</v>
      </c>
      <c r="E29" s="22">
        <f t="array" ref="E29">IF($D29="","",$D29*INDEX(Допущения!$C$25:$G$30,MATCH($C29,Допущения!$B$25:$B$30,0),1))</f>
        <v>7200</v>
      </c>
      <c r="F29" s="22">
        <f t="array" ref="F29">IF($D29="","",$D29*INDEX(Допущения!$C$25:$G$30,MATCH($C29,Допущения!$B$25:$B$30,0),2))</f>
        <v>43200</v>
      </c>
      <c r="G29" s="22">
        <f t="array" ref="G29">IF($D29="","",$D29*INDEX(Допущения!$C$25:$G$30,MATCH($C29,Допущения!$B$25:$B$30,0),3))</f>
        <v>144000</v>
      </c>
      <c r="H29" s="22">
        <f t="array" ref="H29">IF($D29="","",$D29*INDEX(Допущения!$C$25:$G$30,MATCH($C29,Допущения!$B$25:$B$30,0),4))</f>
        <v>288000</v>
      </c>
      <c r="I29" s="22">
        <f t="array" ref="I29">IF($D29="","",$D29*INDEX(Допущения!$C$25:$G$30,MATCH($C29,Допущения!$B$25:$B$30,0),5))</f>
        <v>432000</v>
      </c>
      <c r="J29" s="22">
        <f t="shared" si="4"/>
        <v>914400</v>
      </c>
      <c r="K29" s="23"/>
      <c r="L29" s="24" t="s">
        <v>132</v>
      </c>
    </row>
    <row r="30" spans="2:12" ht="15.75" customHeight="1" x14ac:dyDescent="0.25">
      <c r="B30" s="10" t="s">
        <v>133</v>
      </c>
      <c r="C30" s="16" t="s">
        <v>95</v>
      </c>
      <c r="D30" s="17">
        <f>Допущения!C8*0.1</f>
        <v>30000</v>
      </c>
      <c r="E30" s="22">
        <f t="array" ref="E30">IF($D30="","",$D30*INDEX(Допущения!$C$25:$G$30,MATCH($C30,Допущения!$B$25:$B$30,0),1))</f>
        <v>30000</v>
      </c>
      <c r="F30" s="22">
        <f t="array" ref="F30">IF($D30="","",$D30*INDEX(Допущения!$C$25:$G$30,MATCH($C30,Допущения!$B$25:$B$30,0),2))</f>
        <v>180000</v>
      </c>
      <c r="G30" s="22">
        <f t="array" ref="G30">IF($D30="","",$D30*INDEX(Допущения!$C$25:$G$30,MATCH($C30,Допущения!$B$25:$B$30,0),3))</f>
        <v>600000</v>
      </c>
      <c r="H30" s="22">
        <f t="array" ref="H30">IF($D30="","",$D30*INDEX(Допущения!$C$25:$G$30,MATCH($C30,Допущения!$B$25:$B$30,0),4))</f>
        <v>1200000</v>
      </c>
      <c r="I30" s="22">
        <f t="array" ref="I30">IF($D30="","",$D30*INDEX(Допущения!$C$25:$G$30,MATCH($C30,Допущения!$B$25:$B$30,0),5))</f>
        <v>1800000</v>
      </c>
      <c r="J30" s="22">
        <f t="shared" si="4"/>
        <v>3810000</v>
      </c>
      <c r="K30" s="23"/>
      <c r="L30" s="24" t="s">
        <v>134</v>
      </c>
    </row>
    <row r="31" spans="2:12" ht="15.75" customHeight="1" x14ac:dyDescent="0.25">
      <c r="B31" s="10"/>
      <c r="C31" s="16" t="s">
        <v>88</v>
      </c>
      <c r="D31" s="17">
        <v>0</v>
      </c>
      <c r="E31" s="22">
        <f t="array" ref="E31">IF($D31="","",$D31*INDEX(Допущения!$C$25:$G$30,MATCH($C31,Допущения!$B$25:$B$30,0),1))</f>
        <v>0</v>
      </c>
      <c r="F31" s="22">
        <f t="array" ref="F31">IF($D31="","",$D31*INDEX(Допущения!$C$25:$G$30,MATCH($C31,Допущения!$B$25:$B$30,0),2))</f>
        <v>0</v>
      </c>
      <c r="G31" s="22">
        <f t="array" ref="G31">IF($D31="","",$D31*INDEX(Допущения!$C$25:$G$30,MATCH($C31,Допущения!$B$25:$B$30,0),3))</f>
        <v>0</v>
      </c>
      <c r="H31" s="22">
        <f t="array" ref="H31">IF($D31="","",$D31*INDEX(Допущения!$C$25:$G$30,MATCH($C31,Допущения!$B$25:$B$30,0),4))</f>
        <v>0</v>
      </c>
      <c r="I31" s="22">
        <f t="array" ref="I31">IF($D31="","",$D31*INDEX(Допущения!$C$25:$G$30,MATCH($C31,Допущения!$B$25:$B$30,0),5))</f>
        <v>0</v>
      </c>
      <c r="J31" s="22">
        <f t="shared" si="4"/>
        <v>0</v>
      </c>
      <c r="K31" s="23"/>
      <c r="L31" s="24" t="s">
        <v>113</v>
      </c>
    </row>
    <row r="32" spans="2:12" ht="15.75" customHeight="1" x14ac:dyDescent="0.25">
      <c r="B32" s="25" t="s">
        <v>114</v>
      </c>
      <c r="C32" s="26"/>
      <c r="D32" s="26"/>
      <c r="E32" s="27">
        <f t="shared" ref="E32:J32" si="5">SUM(E27:E31)</f>
        <v>192700</v>
      </c>
      <c r="F32" s="27">
        <f t="shared" si="5"/>
        <v>1189200</v>
      </c>
      <c r="G32" s="27">
        <f t="shared" si="5"/>
        <v>4074000</v>
      </c>
      <c r="H32" s="27">
        <f t="shared" si="5"/>
        <v>8368000</v>
      </c>
      <c r="I32" s="27">
        <f t="shared" si="5"/>
        <v>12882000</v>
      </c>
      <c r="J32" s="27">
        <f t="shared" si="5"/>
        <v>26705900</v>
      </c>
      <c r="K32" s="28">
        <f>IFERROR(J32/$J$51,0)</f>
        <v>0.70824908340661341</v>
      </c>
      <c r="L32" s="26"/>
    </row>
    <row r="33" spans="2:12" ht="15.75" customHeight="1" x14ac:dyDescent="0.25">
      <c r="C33" s="29"/>
    </row>
    <row r="34" spans="2:12" ht="15.75" customHeight="1" x14ac:dyDescent="0.25">
      <c r="B34" s="7" t="s">
        <v>135</v>
      </c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2:12" ht="15.75" customHeight="1" x14ac:dyDescent="0.25">
      <c r="B35" s="10" t="s">
        <v>136</v>
      </c>
      <c r="C35" s="16" t="s">
        <v>92</v>
      </c>
      <c r="D35" s="17">
        <v>300000</v>
      </c>
      <c r="E35" s="22">
        <f t="array" ref="E35">IF($D35="","",$D35*INDEX(Допущения!$C$25:$G$30,MATCH($C35,Допущения!$B$25:$B$30,0),1))</f>
        <v>300000</v>
      </c>
      <c r="F35" s="22">
        <f t="array" ref="F35">IF($D35="","",$D35*INDEX(Допущения!$C$25:$G$30,MATCH($C35,Допущения!$B$25:$B$30,0),2))</f>
        <v>336000.00000000006</v>
      </c>
      <c r="G35" s="22">
        <f t="array" ref="G35">IF($D35="","",$D35*INDEX(Допущения!$C$25:$G$30,MATCH($C35,Допущения!$B$25:$B$30,0),3))</f>
        <v>376320.00000000006</v>
      </c>
      <c r="H35" s="22">
        <f t="array" ref="H35">IF($D35="","",$D35*INDEX(Допущения!$C$25:$G$30,MATCH($C35,Допущения!$B$25:$B$30,0),4))</f>
        <v>421478.40000000014</v>
      </c>
      <c r="I35" s="22">
        <f t="array" ref="I35">IF($D35="","",$D35*INDEX(Допущения!$C$25:$G$30,MATCH($C35,Допущения!$B$25:$B$30,0),5))</f>
        <v>472055.80800000019</v>
      </c>
      <c r="J35" s="22">
        <f t="shared" ref="J35:J39" si="6">SUM(E35:I35)</f>
        <v>1905854.2080000003</v>
      </c>
      <c r="K35" s="23"/>
      <c r="L35" s="24" t="s">
        <v>137</v>
      </c>
    </row>
    <row r="36" spans="2:12" ht="15.75" customHeight="1" x14ac:dyDescent="0.25">
      <c r="B36" s="10" t="s">
        <v>138</v>
      </c>
      <c r="C36" s="16" t="s">
        <v>92</v>
      </c>
      <c r="D36" s="17">
        <v>60000</v>
      </c>
      <c r="E36" s="22">
        <f t="array" ref="E36">IF($D36="","",$D36*INDEX(Допущения!$C$25:$G$30,MATCH($C36,Допущения!$B$25:$B$30,0),1))</f>
        <v>60000</v>
      </c>
      <c r="F36" s="22">
        <f t="array" ref="F36">IF($D36="","",$D36*INDEX(Допущения!$C$25:$G$30,MATCH($C36,Допущения!$B$25:$B$30,0),2))</f>
        <v>67200</v>
      </c>
      <c r="G36" s="22">
        <f t="array" ref="G36">IF($D36="","",$D36*INDEX(Допущения!$C$25:$G$30,MATCH($C36,Допущения!$B$25:$B$30,0),3))</f>
        <v>75264.000000000015</v>
      </c>
      <c r="H36" s="22">
        <f t="array" ref="H36">IF($D36="","",$D36*INDEX(Допущения!$C$25:$G$30,MATCH($C36,Допущения!$B$25:$B$30,0),4))</f>
        <v>84295.680000000022</v>
      </c>
      <c r="I36" s="22">
        <f t="array" ref="I36">IF($D36="","",$D36*INDEX(Допущения!$C$25:$G$30,MATCH($C36,Допущения!$B$25:$B$30,0),5))</f>
        <v>94411.161600000036</v>
      </c>
      <c r="J36" s="22">
        <f t="shared" si="6"/>
        <v>381170.8416000001</v>
      </c>
      <c r="K36" s="23"/>
      <c r="L36" s="24" t="s">
        <v>139</v>
      </c>
    </row>
    <row r="37" spans="2:12" ht="15.75" customHeight="1" x14ac:dyDescent="0.25">
      <c r="B37" s="10" t="s">
        <v>140</v>
      </c>
      <c r="C37" s="16" t="s">
        <v>92</v>
      </c>
      <c r="D37" s="17">
        <v>12000</v>
      </c>
      <c r="E37" s="22">
        <f t="array" ref="E37">IF($D37="","",$D37*INDEX(Допущения!$C$25:$G$30,MATCH($C37,Допущения!$B$25:$B$30,0),1))</f>
        <v>12000</v>
      </c>
      <c r="F37" s="22">
        <f t="array" ref="F37">IF($D37="","",$D37*INDEX(Допущения!$C$25:$G$30,MATCH($C37,Допущения!$B$25:$B$30,0),2))</f>
        <v>13440.000000000002</v>
      </c>
      <c r="G37" s="22">
        <f t="array" ref="G37">IF($D37="","",$D37*INDEX(Допущения!$C$25:$G$30,MATCH($C37,Допущения!$B$25:$B$30,0),3))</f>
        <v>15052.800000000003</v>
      </c>
      <c r="H37" s="22">
        <f t="array" ref="H37">IF($D37="","",$D37*INDEX(Допущения!$C$25:$G$30,MATCH($C37,Допущения!$B$25:$B$30,0),4))</f>
        <v>16859.136000000006</v>
      </c>
      <c r="I37" s="22">
        <f t="array" ref="I37">IF($D37="","",$D37*INDEX(Допущения!$C$25:$G$30,MATCH($C37,Допущения!$B$25:$B$30,0),5))</f>
        <v>18882.232320000006</v>
      </c>
      <c r="J37" s="22">
        <f t="shared" si="6"/>
        <v>76234.168320000012</v>
      </c>
      <c r="K37" s="23"/>
      <c r="L37" s="24" t="s">
        <v>141</v>
      </c>
    </row>
    <row r="38" spans="2:12" ht="15.75" customHeight="1" x14ac:dyDescent="0.25">
      <c r="B38" s="10" t="s">
        <v>142</v>
      </c>
      <c r="C38" s="16" t="s">
        <v>92</v>
      </c>
      <c r="D38" s="17">
        <v>24000</v>
      </c>
      <c r="E38" s="22">
        <f t="array" ref="E38">IF($D38="","",$D38*INDEX(Допущения!$C$25:$G$30,MATCH($C38,Допущения!$B$25:$B$30,0),1))</f>
        <v>24000</v>
      </c>
      <c r="F38" s="22">
        <f t="array" ref="F38">IF($D38="","",$D38*INDEX(Допущения!$C$25:$G$30,MATCH($C38,Допущения!$B$25:$B$30,0),2))</f>
        <v>26880.000000000004</v>
      </c>
      <c r="G38" s="22">
        <f t="array" ref="G38">IF($D38="","",$D38*INDEX(Допущения!$C$25:$G$30,MATCH($C38,Допущения!$B$25:$B$30,0),3))</f>
        <v>30105.600000000006</v>
      </c>
      <c r="H38" s="22">
        <f t="array" ref="H38">IF($D38="","",$D38*INDEX(Допущения!$C$25:$G$30,MATCH($C38,Допущения!$B$25:$B$30,0),4))</f>
        <v>33718.272000000012</v>
      </c>
      <c r="I38" s="22">
        <f t="array" ref="I38">IF($D38="","",$D38*INDEX(Допущения!$C$25:$G$30,MATCH($C38,Допущения!$B$25:$B$30,0),5))</f>
        <v>37764.464640000013</v>
      </c>
      <c r="J38" s="22">
        <f t="shared" si="6"/>
        <v>152468.33664000002</v>
      </c>
      <c r="K38" s="23"/>
      <c r="L38" s="24" t="s">
        <v>143</v>
      </c>
    </row>
    <row r="39" spans="2:12" ht="15.75" customHeight="1" x14ac:dyDescent="0.25">
      <c r="B39" s="10"/>
      <c r="C39" s="16" t="s">
        <v>88</v>
      </c>
      <c r="D39" s="17">
        <v>0</v>
      </c>
      <c r="E39" s="22">
        <f t="array" ref="E39">IF($D39="","",$D39*INDEX(Допущения!$C$25:$G$30,MATCH($C39,Допущения!$B$25:$B$30,0),1))</f>
        <v>0</v>
      </c>
      <c r="F39" s="22">
        <f t="array" ref="F39">IF($D39="","",$D39*INDEX(Допущения!$C$25:$G$30,MATCH($C39,Допущения!$B$25:$B$30,0),2))</f>
        <v>0</v>
      </c>
      <c r="G39" s="22">
        <f t="array" ref="G39">IF($D39="","",$D39*INDEX(Допущения!$C$25:$G$30,MATCH($C39,Допущения!$B$25:$B$30,0),3))</f>
        <v>0</v>
      </c>
      <c r="H39" s="22">
        <f t="array" ref="H39">IF($D39="","",$D39*INDEX(Допущения!$C$25:$G$30,MATCH($C39,Допущения!$B$25:$B$30,0),4))</f>
        <v>0</v>
      </c>
      <c r="I39" s="22">
        <f t="array" ref="I39">IF($D39="","",$D39*INDEX(Допущения!$C$25:$G$30,MATCH($C39,Допущения!$B$25:$B$30,0),5))</f>
        <v>0</v>
      </c>
      <c r="J39" s="22">
        <f t="shared" si="6"/>
        <v>0</v>
      </c>
      <c r="K39" s="23"/>
      <c r="L39" s="24" t="s">
        <v>113</v>
      </c>
    </row>
    <row r="40" spans="2:12" ht="15.75" customHeight="1" x14ac:dyDescent="0.25">
      <c r="B40" s="25" t="s">
        <v>114</v>
      </c>
      <c r="C40" s="26"/>
      <c r="D40" s="26"/>
      <c r="E40" s="27">
        <f t="shared" ref="E40:J40" si="7">SUM(E35:E39)</f>
        <v>396000</v>
      </c>
      <c r="F40" s="27">
        <f t="shared" si="7"/>
        <v>443520.00000000006</v>
      </c>
      <c r="G40" s="27">
        <f t="shared" si="7"/>
        <v>496742.40000000002</v>
      </c>
      <c r="H40" s="27">
        <f t="shared" si="7"/>
        <v>556351.48800000024</v>
      </c>
      <c r="I40" s="27">
        <f t="shared" si="7"/>
        <v>623113.66656000016</v>
      </c>
      <c r="J40" s="27">
        <f t="shared" si="7"/>
        <v>2515727.5545600005</v>
      </c>
      <c r="K40" s="28">
        <f>IFERROR(J40/$J$51,0)</f>
        <v>6.6717906328484761E-2</v>
      </c>
      <c r="L40" s="26"/>
    </row>
    <row r="41" spans="2:12" ht="15.75" customHeight="1" x14ac:dyDescent="0.25">
      <c r="C41" s="29"/>
    </row>
    <row r="42" spans="2:12" ht="15.75" customHeight="1" x14ac:dyDescent="0.25">
      <c r="B42" s="7" t="s">
        <v>144</v>
      </c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2:12" ht="15.75" customHeight="1" x14ac:dyDescent="0.25">
      <c r="B43" s="10" t="s">
        <v>145</v>
      </c>
      <c r="C43" s="16" t="s">
        <v>88</v>
      </c>
      <c r="D43" s="17">
        <v>15000</v>
      </c>
      <c r="E43" s="22">
        <f t="array" ref="E43">IF($D43="","",$D43*INDEX(Допущения!$C$25:$G$30,MATCH($C43,Допущения!$B$25:$B$30,0),1))</f>
        <v>15000</v>
      </c>
      <c r="F43" s="22">
        <f t="array" ref="F43">IF($D43="","",$D43*INDEX(Допущения!$C$25:$G$30,MATCH($C43,Допущения!$B$25:$B$30,0),2))</f>
        <v>15000</v>
      </c>
      <c r="G43" s="22">
        <f t="array" ref="G43">IF($D43="","",$D43*INDEX(Допущения!$C$25:$G$30,MATCH($C43,Допущения!$B$25:$B$30,0),3))</f>
        <v>15000</v>
      </c>
      <c r="H43" s="22">
        <f t="array" ref="H43">IF($D43="","",$D43*INDEX(Допущения!$C$25:$G$30,MATCH($C43,Допущения!$B$25:$B$30,0),4))</f>
        <v>15000</v>
      </c>
      <c r="I43" s="22">
        <f t="array" ref="I43">IF($D43="","",$D43*INDEX(Допущения!$C$25:$G$30,MATCH($C43,Допущения!$B$25:$B$30,0),5))</f>
        <v>15000</v>
      </c>
      <c r="J43" s="22">
        <f t="shared" ref="J43:J47" si="8">SUM(E43:I43)</f>
        <v>75000</v>
      </c>
      <c r="K43" s="23"/>
      <c r="L43" s="24" t="s">
        <v>146</v>
      </c>
    </row>
    <row r="44" spans="2:12" ht="15.75" customHeight="1" x14ac:dyDescent="0.25">
      <c r="B44" s="10" t="s">
        <v>147</v>
      </c>
      <c r="C44" s="16" t="s">
        <v>90</v>
      </c>
      <c r="D44" s="17">
        <v>10000</v>
      </c>
      <c r="E44" s="22">
        <f t="array" ref="E44">IF($D44="","",$D44*INDEX(Допущения!$C$25:$G$30,MATCH($C44,Допущения!$B$25:$B$30,0),1))</f>
        <v>10000</v>
      </c>
      <c r="F44" s="22">
        <f t="array" ref="F44">IF($D44="","",$D44*INDEX(Допущения!$C$25:$G$30,MATCH($C44,Допущения!$B$25:$B$30,0),2))</f>
        <v>10800</v>
      </c>
      <c r="G44" s="22">
        <f t="array" ref="G44">IF($D44="","",$D44*INDEX(Допущения!$C$25:$G$30,MATCH($C44,Допущения!$B$25:$B$30,0),3))</f>
        <v>11664.000000000002</v>
      </c>
      <c r="H44" s="22">
        <f t="array" ref="H44">IF($D44="","",$D44*INDEX(Допущения!$C$25:$G$30,MATCH($C44,Допущения!$B$25:$B$30,0),4))</f>
        <v>12597.12</v>
      </c>
      <c r="I44" s="22">
        <f t="array" ref="I44">IF($D44="","",$D44*INDEX(Допущения!$C$25:$G$30,MATCH($C44,Допущения!$B$25:$B$30,0),5))</f>
        <v>13604.889600000002</v>
      </c>
      <c r="J44" s="22">
        <f t="shared" si="8"/>
        <v>58666.009600000005</v>
      </c>
      <c r="K44" s="23"/>
      <c r="L44" s="24" t="s">
        <v>148</v>
      </c>
    </row>
    <row r="45" spans="2:12" ht="15.75" customHeight="1" x14ac:dyDescent="0.25">
      <c r="B45" s="10" t="s">
        <v>149</v>
      </c>
      <c r="C45" s="16" t="s">
        <v>88</v>
      </c>
      <c r="D45" s="17">
        <v>70000</v>
      </c>
      <c r="E45" s="22">
        <f t="array" ref="E45">IF($D45="","",$D45*INDEX(Допущения!$C$25:$G$30,MATCH($C45,Допущения!$B$25:$B$30,0),1))</f>
        <v>70000</v>
      </c>
      <c r="F45" s="22">
        <f t="array" ref="F45">IF($D45="","",$D45*INDEX(Допущения!$C$25:$G$30,MATCH($C45,Допущения!$B$25:$B$30,0),2))</f>
        <v>70000</v>
      </c>
      <c r="G45" s="22">
        <f t="array" ref="G45">IF($D45="","",$D45*INDEX(Допущения!$C$25:$G$30,MATCH($C45,Допущения!$B$25:$B$30,0),3))</f>
        <v>70000</v>
      </c>
      <c r="H45" s="22">
        <f t="array" ref="H45">IF($D45="","",$D45*INDEX(Допущения!$C$25:$G$30,MATCH($C45,Допущения!$B$25:$B$30,0),4))</f>
        <v>70000</v>
      </c>
      <c r="I45" s="22">
        <f t="array" ref="I45">IF($D45="","",$D45*INDEX(Допущения!$C$25:$G$30,MATCH($C45,Допущения!$B$25:$B$30,0),5))</f>
        <v>70000</v>
      </c>
      <c r="J45" s="22">
        <f t="shared" si="8"/>
        <v>350000</v>
      </c>
      <c r="K45" s="23"/>
      <c r="L45" s="24" t="s">
        <v>150</v>
      </c>
    </row>
    <row r="46" spans="2:12" ht="15.75" customHeight="1" x14ac:dyDescent="0.25">
      <c r="B46" s="10" t="s">
        <v>151</v>
      </c>
      <c r="C46" s="16" t="s">
        <v>92</v>
      </c>
      <c r="D46" s="17">
        <v>0</v>
      </c>
      <c r="E46" s="22">
        <f t="array" ref="E46">IF($D46="","",$D46*INDEX(Допущения!$C$25:$G$30,MATCH($C46,Допущения!$B$25:$B$30,0),1))</f>
        <v>0</v>
      </c>
      <c r="F46" s="22">
        <f t="array" ref="F46">IF($D46="","",$D46*INDEX(Допущения!$C$25:$G$30,MATCH($C46,Допущения!$B$25:$B$30,0),2))</f>
        <v>0</v>
      </c>
      <c r="G46" s="22">
        <f t="array" ref="G46">IF($D46="","",$D46*INDEX(Допущения!$C$25:$G$30,MATCH($C46,Допущения!$B$25:$B$30,0),3))</f>
        <v>0</v>
      </c>
      <c r="H46" s="22">
        <f t="array" ref="H46">IF($D46="","",$D46*INDEX(Допущения!$C$25:$G$30,MATCH($C46,Допущения!$B$25:$B$30,0),4))</f>
        <v>0</v>
      </c>
      <c r="I46" s="22">
        <f t="array" ref="I46">IF($D46="","",$D46*INDEX(Допущения!$C$25:$G$30,MATCH($C46,Допущения!$B$25:$B$30,0),5))</f>
        <v>0</v>
      </c>
      <c r="J46" s="22">
        <f t="shared" si="8"/>
        <v>0</v>
      </c>
      <c r="K46" s="23"/>
      <c r="L46" s="24" t="s">
        <v>152</v>
      </c>
    </row>
    <row r="47" spans="2:12" ht="15.75" customHeight="1" x14ac:dyDescent="0.25">
      <c r="B47" s="10"/>
      <c r="C47" s="16" t="s">
        <v>88</v>
      </c>
      <c r="D47" s="17">
        <v>0</v>
      </c>
      <c r="E47" s="22">
        <f t="array" ref="E47">IF($D47="","",$D47*INDEX(Допущения!$C$25:$G$30,MATCH($C47,Допущения!$B$25:$B$30,0),1))</f>
        <v>0</v>
      </c>
      <c r="F47" s="22">
        <f t="array" ref="F47">IF($D47="","",$D47*INDEX(Допущения!$C$25:$G$30,MATCH($C47,Допущения!$B$25:$B$30,0),2))</f>
        <v>0</v>
      </c>
      <c r="G47" s="22">
        <f t="array" ref="G47">IF($D47="","",$D47*INDEX(Допущения!$C$25:$G$30,MATCH($C47,Допущения!$B$25:$B$30,0),3))</f>
        <v>0</v>
      </c>
      <c r="H47" s="22">
        <f t="array" ref="H47">IF($D47="","",$D47*INDEX(Допущения!$C$25:$G$30,MATCH($C47,Допущения!$B$25:$B$30,0),4))</f>
        <v>0</v>
      </c>
      <c r="I47" s="22">
        <f t="array" ref="I47">IF($D47="","",$D47*INDEX(Допущения!$C$25:$G$30,MATCH($C47,Допущения!$B$25:$B$30,0),5))</f>
        <v>0</v>
      </c>
      <c r="J47" s="22">
        <f t="shared" si="8"/>
        <v>0</v>
      </c>
      <c r="K47" s="23"/>
      <c r="L47" s="24" t="s">
        <v>113</v>
      </c>
    </row>
    <row r="48" spans="2:12" ht="15.75" customHeight="1" x14ac:dyDescent="0.25">
      <c r="B48" s="25" t="s">
        <v>114</v>
      </c>
      <c r="C48" s="26"/>
      <c r="D48" s="26"/>
      <c r="E48" s="27">
        <f t="shared" ref="E48:J48" si="9">SUM(E43:E47)</f>
        <v>95000</v>
      </c>
      <c r="F48" s="27">
        <f t="shared" si="9"/>
        <v>95800</v>
      </c>
      <c r="G48" s="27">
        <f t="shared" si="9"/>
        <v>96664</v>
      </c>
      <c r="H48" s="27">
        <f t="shared" si="9"/>
        <v>97597.119999999995</v>
      </c>
      <c r="I48" s="27">
        <f t="shared" si="9"/>
        <v>98604.889599999995</v>
      </c>
      <c r="J48" s="27">
        <f t="shared" si="9"/>
        <v>483666.00959999999</v>
      </c>
      <c r="K48" s="28">
        <f>IFERROR(J48/$J$51,0)</f>
        <v>1.2826978606754847E-2</v>
      </c>
      <c r="L48" s="26"/>
    </row>
    <row r="49" spans="2:12" ht="15.75" customHeight="1" x14ac:dyDescent="0.25">
      <c r="C49" s="29"/>
    </row>
    <row r="50" spans="2:12" ht="15.75" customHeight="1" x14ac:dyDescent="0.25">
      <c r="B50" s="14" t="s">
        <v>153</v>
      </c>
      <c r="C50" s="29"/>
      <c r="E50" s="30">
        <f>(E15+E24+E32+E40+E48)*Допущения!$C$17</f>
        <v>112619.3985</v>
      </c>
      <c r="F50" s="30">
        <f>(F15+F24+F32+F40+F48)*Допущения!$C$17</f>
        <v>294125.05446000001</v>
      </c>
      <c r="G50" s="30">
        <f>(G15+G24+G32+G40+G48)*Допущения!$C$17</f>
        <v>784386.95113679999</v>
      </c>
      <c r="H50" s="30">
        <f>(H15+H24+H32+H40+H48)*Допущения!$C$17</f>
        <v>1492484.3424277438</v>
      </c>
      <c r="I50" s="30">
        <f>(I15+I24+I32+I40+I48)*Допущения!$C$17</f>
        <v>2234679.7267499636</v>
      </c>
      <c r="J50" s="22">
        <f t="shared" ref="J50:J51" si="10">SUM(E50:I50)</f>
        <v>4918295.4732745066</v>
      </c>
      <c r="L50" s="6" t="s">
        <v>154</v>
      </c>
    </row>
    <row r="51" spans="2:12" ht="15.75" customHeight="1" x14ac:dyDescent="0.25">
      <c r="B51" s="25" t="s">
        <v>155</v>
      </c>
      <c r="C51" s="29"/>
      <c r="E51" s="27">
        <f t="shared" ref="E51:I51" si="11">E15+E24+E32+E40+E48+E50</f>
        <v>863415.3885</v>
      </c>
      <c r="F51" s="27">
        <f t="shared" si="11"/>
        <v>2254958.75086</v>
      </c>
      <c r="G51" s="27">
        <f t="shared" si="11"/>
        <v>6013633.2920488007</v>
      </c>
      <c r="H51" s="27">
        <f t="shared" si="11"/>
        <v>11442379.958612703</v>
      </c>
      <c r="I51" s="27">
        <f t="shared" si="11"/>
        <v>17132544.571749721</v>
      </c>
      <c r="J51" s="27">
        <f t="shared" si="10"/>
        <v>37706931.96177122</v>
      </c>
    </row>
    <row r="52" spans="2:12" ht="15.75" customHeight="1" x14ac:dyDescent="0.25">
      <c r="B52" s="7" t="s">
        <v>156</v>
      </c>
      <c r="C52" s="8"/>
      <c r="D52" s="8"/>
      <c r="E52" s="8"/>
      <c r="F52" s="8"/>
      <c r="G52" s="8"/>
      <c r="H52" s="8"/>
      <c r="I52" s="8"/>
      <c r="J52" s="8"/>
      <c r="K52" s="8"/>
      <c r="L52" s="8"/>
    </row>
    <row r="53" spans="2:12" ht="15.75" customHeight="1" x14ac:dyDescent="0.25">
      <c r="B53" s="10" t="s">
        <v>157</v>
      </c>
      <c r="E53" s="30">
        <f>(1-Допущения!$C$20)*525600*Допущения!$C$19*Допущения!$C$21</f>
        <v>630719.9999999305</v>
      </c>
      <c r="F53" s="30">
        <f>(1-Допущения!$C$20)*525600*Допущения!$C$19*Допущения!$C$21</f>
        <v>630719.9999999305</v>
      </c>
      <c r="G53" s="30">
        <f>(1-Допущения!$C$20)*525600*Допущения!$C$19*Допущения!$C$21</f>
        <v>630719.9999999305</v>
      </c>
      <c r="H53" s="30">
        <f>(1-Допущения!$C$20)*525600*Допущения!$C$19*Допущения!$C$21</f>
        <v>630719.9999999305</v>
      </c>
      <c r="I53" s="30">
        <f>(1-Допущения!$C$20)*525600*Допущения!$C$19*Допущения!$C$21</f>
        <v>630719.9999999305</v>
      </c>
      <c r="J53" s="22">
        <f t="shared" ref="J53:J54" si="12">SUM(E53:I53)</f>
        <v>3153599.9999996526</v>
      </c>
      <c r="L53" s="12" t="s">
        <v>158</v>
      </c>
    </row>
    <row r="54" spans="2:12" ht="15.75" customHeight="1" x14ac:dyDescent="0.25">
      <c r="B54" s="25" t="s">
        <v>159</v>
      </c>
      <c r="E54" s="27">
        <f t="shared" ref="E54:I54" si="13">E51+E53</f>
        <v>1494135.3884999305</v>
      </c>
      <c r="F54" s="27">
        <f t="shared" si="13"/>
        <v>2885678.7508599306</v>
      </c>
      <c r="G54" s="27">
        <f t="shared" si="13"/>
        <v>6644353.2920487309</v>
      </c>
      <c r="H54" s="27">
        <f t="shared" si="13"/>
        <v>12073099.958612634</v>
      </c>
      <c r="I54" s="27">
        <f t="shared" si="13"/>
        <v>17763264.57174965</v>
      </c>
      <c r="J54" s="27">
        <f t="shared" si="12"/>
        <v>40860531.961770877</v>
      </c>
    </row>
    <row r="55" spans="2:12" ht="15.75" customHeight="1" x14ac:dyDescent="0.25">
      <c r="B55" s="10" t="s">
        <v>160</v>
      </c>
      <c r="E55" s="31">
        <f>1/(1+Допущения!$C$16)^0</f>
        <v>1</v>
      </c>
      <c r="F55" s="31">
        <f>1/(1+Допущения!$C$16)^1</f>
        <v>0.83333333333333337</v>
      </c>
      <c r="G55" s="31">
        <f>1/(1+Допущения!$C$16)^2</f>
        <v>0.69444444444444442</v>
      </c>
      <c r="H55" s="31">
        <f>1/(1+Допущения!$C$16)^3</f>
        <v>0.57870370370370372</v>
      </c>
      <c r="I55" s="31">
        <f>1/(1+Допущения!$C$16)^4</f>
        <v>0.48225308641975312</v>
      </c>
    </row>
    <row r="56" spans="2:12" ht="15.75" customHeight="1" x14ac:dyDescent="0.25">
      <c r="B56" s="25" t="s">
        <v>161</v>
      </c>
      <c r="E56" s="27">
        <f t="shared" ref="E56:I56" si="14">E54*E55</f>
        <v>1494135.3884999305</v>
      </c>
      <c r="F56" s="27">
        <f t="shared" si="14"/>
        <v>2404732.2923832755</v>
      </c>
      <c r="G56" s="27">
        <f t="shared" si="14"/>
        <v>4614134.2305893963</v>
      </c>
      <c r="H56" s="27">
        <f t="shared" si="14"/>
        <v>6986747.6612341637</v>
      </c>
      <c r="I56" s="27">
        <f t="shared" si="14"/>
        <v>8566389.1646169219</v>
      </c>
      <c r="J56" s="27">
        <f>SUM(E56:I56)</f>
        <v>24066138.737323686</v>
      </c>
    </row>
    <row r="57" spans="2:12" ht="15.75" customHeight="1" x14ac:dyDescent="0.25"/>
    <row r="58" spans="2:12" ht="15.75" customHeight="1" x14ac:dyDescent="0.25">
      <c r="B58" s="7" t="s">
        <v>162</v>
      </c>
      <c r="C58" s="8"/>
      <c r="D58" s="8"/>
      <c r="E58" s="8"/>
      <c r="F58" s="8"/>
      <c r="G58" s="8"/>
      <c r="H58" s="8"/>
      <c r="I58" s="8"/>
      <c r="J58" s="8"/>
      <c r="K58" s="8"/>
      <c r="L58" s="8"/>
    </row>
    <row r="59" spans="2:12" ht="15.75" customHeight="1" x14ac:dyDescent="0.25">
      <c r="B59" s="14" t="s">
        <v>163</v>
      </c>
      <c r="E59" s="47">
        <f>J51</f>
        <v>37706931.96177122</v>
      </c>
      <c r="F59" s="48"/>
      <c r="L59" s="12" t="s">
        <v>164</v>
      </c>
    </row>
    <row r="60" spans="2:12" ht="15.75" customHeight="1" x14ac:dyDescent="0.25">
      <c r="B60" s="14" t="s">
        <v>165</v>
      </c>
      <c r="E60" s="47">
        <f>J54</f>
        <v>40860531.961770877</v>
      </c>
      <c r="F60" s="48"/>
      <c r="L60" s="12" t="s">
        <v>166</v>
      </c>
    </row>
    <row r="61" spans="2:12" ht="15.75" customHeight="1" x14ac:dyDescent="0.25">
      <c r="B61" s="14" t="s">
        <v>167</v>
      </c>
      <c r="E61" s="47">
        <f>J56</f>
        <v>24066138.737323686</v>
      </c>
      <c r="F61" s="48"/>
      <c r="L61" s="12" t="s">
        <v>168</v>
      </c>
    </row>
    <row r="62" spans="2:12" ht="15.75" customHeight="1" x14ac:dyDescent="0.25">
      <c r="B62" s="14" t="s">
        <v>169</v>
      </c>
      <c r="E62" s="47">
        <f>J51/5</f>
        <v>7541386.3923542444</v>
      </c>
      <c r="F62" s="48"/>
      <c r="L62" s="12" t="s">
        <v>170</v>
      </c>
    </row>
    <row r="63" spans="2:12" ht="15.75" customHeight="1" x14ac:dyDescent="0.25">
      <c r="B63" s="14" t="s">
        <v>171</v>
      </c>
      <c r="E63" s="47">
        <f>E15/12</f>
        <v>5391.3325000000004</v>
      </c>
      <c r="F63" s="48"/>
      <c r="L63" s="12" t="s">
        <v>172</v>
      </c>
    </row>
    <row r="64" spans="2:12" ht="15.75" customHeight="1" x14ac:dyDescent="0.25">
      <c r="B64" s="14" t="s">
        <v>173</v>
      </c>
      <c r="E64" s="49" t="str">
        <f>IF(E15/12&lt;=Допущения!$C$18,"В бюджете CFO","ПРЕВЫШЕНИЕ бюджета")</f>
        <v>В бюджете CFO</v>
      </c>
      <c r="F64" s="48"/>
      <c r="L64" s="12" t="s">
        <v>174</v>
      </c>
    </row>
    <row r="65" spans="2:12" ht="15.75" customHeight="1" x14ac:dyDescent="0.25">
      <c r="B65" s="14" t="s">
        <v>175</v>
      </c>
      <c r="E65" s="50">
        <f>IFERROR(J51/SUM(Допущения!$C$8:$G$8),0)</f>
        <v>0.98968325358979581</v>
      </c>
      <c r="F65" s="48"/>
      <c r="L65" s="12" t="s">
        <v>176</v>
      </c>
    </row>
    <row r="66" spans="2:12" ht="15.75" customHeight="1" x14ac:dyDescent="0.25">
      <c r="B66" s="14" t="s">
        <v>177</v>
      </c>
      <c r="E66" s="50">
        <f>IFERROR(I51/Допущения!$G$7,0)</f>
        <v>4.8950127347856345</v>
      </c>
      <c r="F66" s="48"/>
      <c r="L66" s="12" t="s">
        <v>178</v>
      </c>
    </row>
    <row r="67" spans="2:12" ht="15.75" customHeight="1" x14ac:dyDescent="0.25">
      <c r="B67" s="14" t="s">
        <v>179</v>
      </c>
      <c r="E67" s="51">
        <f>IFERROR(J51/SUM(Допущения!$C$10:$G$10),0)</f>
        <v>3.5099070987406888E-2</v>
      </c>
      <c r="F67" s="48"/>
      <c r="L67" s="12" t="s">
        <v>180</v>
      </c>
    </row>
    <row r="68" spans="2:12" ht="15.75" customHeight="1" x14ac:dyDescent="0.25">
      <c r="B68" s="14" t="s">
        <v>181</v>
      </c>
      <c r="E68" s="52">
        <f>IFERROR(J15/J51,0)</f>
        <v>7.9834206777594133E-2</v>
      </c>
      <c r="F68" s="48"/>
      <c r="L68" s="12" t="s">
        <v>182</v>
      </c>
    </row>
    <row r="69" spans="2:12" ht="15.75" customHeight="1" x14ac:dyDescent="0.25">
      <c r="B69" s="14" t="s">
        <v>183</v>
      </c>
      <c r="E69" s="52">
        <f>IFERROR(J32/J51,0)</f>
        <v>0.70824908340661341</v>
      </c>
      <c r="F69" s="48"/>
      <c r="L69" s="12" t="s">
        <v>184</v>
      </c>
    </row>
    <row r="70" spans="2:12" ht="15.75" customHeight="1" x14ac:dyDescent="0.25">
      <c r="B70" s="14" t="s">
        <v>185</v>
      </c>
      <c r="E70" s="52">
        <f>IFERROR(J40/J51,0)</f>
        <v>6.6717906328484761E-2</v>
      </c>
      <c r="F70" s="48"/>
      <c r="L70" s="12" t="s">
        <v>186</v>
      </c>
    </row>
    <row r="71" spans="2:12" ht="15.75" customHeight="1" x14ac:dyDescent="0.25"/>
    <row r="72" spans="2:12" ht="15.75" customHeight="1" x14ac:dyDescent="0.25">
      <c r="B72" s="38" t="s">
        <v>187</v>
      </c>
      <c r="C72" s="36"/>
      <c r="D72" s="36"/>
      <c r="E72" s="36"/>
      <c r="F72" s="36"/>
      <c r="G72" s="36"/>
      <c r="H72" s="36"/>
      <c r="I72" s="36"/>
      <c r="J72" s="36"/>
      <c r="K72" s="36"/>
      <c r="L72" s="36"/>
    </row>
    <row r="73" spans="2:12" ht="15" customHeight="1" x14ac:dyDescent="0.25">
      <c r="B73" s="39" t="s">
        <v>188</v>
      </c>
      <c r="C73" s="40"/>
      <c r="D73" s="40"/>
      <c r="E73" s="40"/>
      <c r="F73" s="40"/>
      <c r="G73" s="40"/>
      <c r="H73" s="40"/>
      <c r="I73" s="40"/>
      <c r="J73" s="40"/>
      <c r="K73" s="40"/>
      <c r="L73" s="41"/>
    </row>
    <row r="74" spans="2:12" ht="15.75" customHeight="1" x14ac:dyDescent="0.25">
      <c r="B74" s="42"/>
      <c r="C74" s="36"/>
      <c r="D74" s="36"/>
      <c r="E74" s="36"/>
      <c r="F74" s="36"/>
      <c r="G74" s="36"/>
      <c r="H74" s="36"/>
      <c r="I74" s="36"/>
      <c r="J74" s="36"/>
      <c r="K74" s="36"/>
      <c r="L74" s="43"/>
    </row>
    <row r="75" spans="2:12" ht="15.75" customHeight="1" x14ac:dyDescent="0.25">
      <c r="B75" s="44"/>
      <c r="C75" s="45"/>
      <c r="D75" s="45"/>
      <c r="E75" s="45"/>
      <c r="F75" s="45"/>
      <c r="G75" s="45"/>
      <c r="H75" s="45"/>
      <c r="I75" s="45"/>
      <c r="J75" s="45"/>
      <c r="K75" s="45"/>
      <c r="L75" s="46"/>
    </row>
    <row r="76" spans="2:12" ht="15.75" customHeight="1" x14ac:dyDescent="0.25"/>
    <row r="77" spans="2:12" ht="15.75" customHeight="1" x14ac:dyDescent="0.25"/>
    <row r="78" spans="2:12" ht="15.75" customHeight="1" x14ac:dyDescent="0.25"/>
    <row r="79" spans="2:12" ht="15.75" customHeight="1" x14ac:dyDescent="0.25"/>
    <row r="80" spans="2:12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4">
    <mergeCell ref="B72:L72"/>
    <mergeCell ref="B73:L75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</mergeCells>
  <dataValidations count="1">
    <dataValidation type="list" allowBlank="1" sqref="C6:C51" xr:uid="{00000000-0002-0000-0200-000000000000}">
      <formula1>"фикс,инфляция,ФОТ,пользователи,заказы,GMV"</formula1>
    </dataValidation>
  </dataValidation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1000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D27" sqref="D27:D30"/>
    </sheetView>
  </sheetViews>
  <sheetFormatPr defaultColWidth="14.42578125" defaultRowHeight="15" customHeight="1" x14ac:dyDescent="0.25"/>
  <cols>
    <col min="1" max="1" width="3" customWidth="1"/>
    <col min="2" max="2" width="44" customWidth="1"/>
    <col min="3" max="3" width="16" customWidth="1"/>
    <col min="4" max="4" width="15" customWidth="1"/>
    <col min="5" max="10" width="14" customWidth="1"/>
    <col min="11" max="11" width="10" customWidth="1"/>
    <col min="12" max="12" width="46" customWidth="1"/>
    <col min="13" max="26" width="8.7109375" customWidth="1"/>
  </cols>
  <sheetData>
    <row r="2" spans="2:12" ht="18" x14ac:dyDescent="0.25">
      <c r="B2" s="1" t="s">
        <v>1</v>
      </c>
    </row>
    <row r="3" spans="2:12" x14ac:dyDescent="0.25">
      <c r="B3" s="6" t="s">
        <v>5</v>
      </c>
    </row>
    <row r="5" spans="2:12" ht="31.5" customHeight="1" x14ac:dyDescent="0.25">
      <c r="B5" s="9" t="s">
        <v>41</v>
      </c>
      <c r="C5" s="9" t="s">
        <v>49</v>
      </c>
      <c r="D5" s="9" t="s">
        <v>52</v>
      </c>
      <c r="E5" s="9" t="s">
        <v>42</v>
      </c>
      <c r="F5" s="9" t="s">
        <v>44</v>
      </c>
      <c r="G5" s="9" t="s">
        <v>46</v>
      </c>
      <c r="H5" s="9" t="s">
        <v>47</v>
      </c>
      <c r="I5" s="9" t="s">
        <v>48</v>
      </c>
      <c r="J5" s="9" t="s">
        <v>60</v>
      </c>
      <c r="K5" s="9" t="s">
        <v>61</v>
      </c>
      <c r="L5" s="9" t="s">
        <v>50</v>
      </c>
    </row>
    <row r="6" spans="2:12" x14ac:dyDescent="0.25">
      <c r="B6" s="7" t="s">
        <v>62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2:12" x14ac:dyDescent="0.25">
      <c r="B7" s="10" t="s">
        <v>63</v>
      </c>
      <c r="C7" s="16" t="s">
        <v>64</v>
      </c>
      <c r="D7" s="17">
        <v>18525.259999999998</v>
      </c>
      <c r="E7" s="22">
        <f t="array" ref="E7">IF($D7="","",$D7*INDEX(Допущения!$C$25:$G$30,MATCH($C7,Допущения!$B$25:$B$30,0),1))</f>
        <v>18525.259999999998</v>
      </c>
      <c r="F7" s="22">
        <f t="array" ref="F7">IF($D7="","",$D7*INDEX(Допущения!$C$25:$G$30,MATCH($C7,Допущения!$B$25:$B$30,0),2))</f>
        <v>74101.039999999994</v>
      </c>
      <c r="G7" s="22">
        <f t="array" ref="G7">IF($D7="","",$D7*INDEX(Допущения!$C$25:$G$30,MATCH($C7,Допущения!$B$25:$B$30,0),3))</f>
        <v>185252.59999999998</v>
      </c>
      <c r="H7" s="22">
        <f t="array" ref="H7">IF($D7="","",$D7*INDEX(Допущения!$C$25:$G$30,MATCH($C7,Допущения!$B$25:$B$30,0),4))</f>
        <v>308754.33333333331</v>
      </c>
      <c r="I7" s="22">
        <f t="array" ref="I7">IF($D7="","",$D7*INDEX(Допущения!$C$25:$G$30,MATCH($C7,Допущения!$B$25:$B$30,0),5))</f>
        <v>432256.06666666659</v>
      </c>
      <c r="J7" s="22">
        <f t="shared" ref="J7:J14" si="0">SUM(E7:I7)</f>
        <v>1018889.2999999998</v>
      </c>
      <c r="K7" s="23"/>
      <c r="L7" s="24" t="s">
        <v>100</v>
      </c>
    </row>
    <row r="8" spans="2:12" x14ac:dyDescent="0.25">
      <c r="B8" s="10" t="s">
        <v>101</v>
      </c>
      <c r="C8" s="16" t="s">
        <v>64</v>
      </c>
      <c r="D8" s="17">
        <v>27787.9</v>
      </c>
      <c r="E8" s="22">
        <f t="array" ref="E8">IF($D8="","",$D8*INDEX(Допущения!$C$25:$G$30,MATCH($C8,Допущения!$B$25:$B$30,0),1))</f>
        <v>27787.9</v>
      </c>
      <c r="F8" s="22">
        <f t="array" ref="F8">IF($D8="","",$D8*INDEX(Допущения!$C$25:$G$30,MATCH($C8,Допущения!$B$25:$B$30,0),2))</f>
        <v>111151.6</v>
      </c>
      <c r="G8" s="22">
        <f t="array" ref="G8">IF($D8="","",$D8*INDEX(Допущения!$C$25:$G$30,MATCH($C8,Допущения!$B$25:$B$30,0),3))</f>
        <v>277879</v>
      </c>
      <c r="H8" s="22">
        <f t="array" ref="H8">IF($D8="","",$D8*INDEX(Допущения!$C$25:$G$30,MATCH($C8,Допущения!$B$25:$B$30,0),4))</f>
        <v>463131.66666666674</v>
      </c>
      <c r="I8" s="22">
        <f t="array" ref="I8">IF($D8="","",$D8*INDEX(Допущения!$C$25:$G$30,MATCH($C8,Допущения!$B$25:$B$30,0),5))</f>
        <v>648384.33333333337</v>
      </c>
      <c r="J8" s="22">
        <f t="shared" si="0"/>
        <v>1528334.5</v>
      </c>
      <c r="K8" s="23"/>
      <c r="L8" s="24" t="s">
        <v>102</v>
      </c>
    </row>
    <row r="9" spans="2:12" x14ac:dyDescent="0.25">
      <c r="B9" s="10" t="s">
        <v>103</v>
      </c>
      <c r="C9" s="16" t="s">
        <v>64</v>
      </c>
      <c r="D9" s="17">
        <v>1800</v>
      </c>
      <c r="E9" s="22">
        <f t="array" ref="E9">IF($D9="","",$D9*INDEX(Допущения!$C$25:$G$30,MATCH($C9,Допущения!$B$25:$B$30,0),1))</f>
        <v>1800</v>
      </c>
      <c r="F9" s="22">
        <f t="array" ref="F9">IF($D9="","",$D9*INDEX(Допущения!$C$25:$G$30,MATCH($C9,Допущения!$B$25:$B$30,0),2))</f>
        <v>7200</v>
      </c>
      <c r="G9" s="22">
        <f t="array" ref="G9">IF($D9="","",$D9*INDEX(Допущения!$C$25:$G$30,MATCH($C9,Допущения!$B$25:$B$30,0),3))</f>
        <v>18000</v>
      </c>
      <c r="H9" s="22">
        <f t="array" ref="H9">IF($D9="","",$D9*INDEX(Допущения!$C$25:$G$30,MATCH($C9,Допущения!$B$25:$B$30,0),4))</f>
        <v>30000.000000000004</v>
      </c>
      <c r="I9" s="22">
        <f t="array" ref="I9">IF($D9="","",$D9*INDEX(Допущения!$C$25:$G$30,MATCH($C9,Допущения!$B$25:$B$30,0),5))</f>
        <v>42000</v>
      </c>
      <c r="J9" s="22">
        <f t="shared" si="0"/>
        <v>99000</v>
      </c>
      <c r="K9" s="23"/>
      <c r="L9" s="24" t="s">
        <v>104</v>
      </c>
    </row>
    <row r="10" spans="2:12" x14ac:dyDescent="0.25">
      <c r="B10" s="10" t="s">
        <v>105</v>
      </c>
      <c r="C10" s="16" t="s">
        <v>64</v>
      </c>
      <c r="D10" s="17">
        <v>6030</v>
      </c>
      <c r="E10" s="22">
        <f t="array" ref="E10">IF($D10="","",$D10*INDEX(Допущения!$C$25:$G$30,MATCH($C10,Допущения!$B$25:$B$30,0),1))</f>
        <v>6030</v>
      </c>
      <c r="F10" s="22">
        <f t="array" ref="F10">IF($D10="","",$D10*INDEX(Допущения!$C$25:$G$30,MATCH($C10,Допущения!$B$25:$B$30,0),2))</f>
        <v>24120</v>
      </c>
      <c r="G10" s="22">
        <f t="array" ref="G10">IF($D10="","",$D10*INDEX(Допущения!$C$25:$G$30,MATCH($C10,Допущения!$B$25:$B$30,0),3))</f>
        <v>60300</v>
      </c>
      <c r="H10" s="22">
        <f t="array" ref="H10">IF($D10="","",$D10*INDEX(Допущения!$C$25:$G$30,MATCH($C10,Допущения!$B$25:$B$30,0),4))</f>
        <v>100500</v>
      </c>
      <c r="I10" s="22">
        <f t="array" ref="I10">IF($D10="","",$D10*INDEX(Допущения!$C$25:$G$30,MATCH($C10,Допущения!$B$25:$B$30,0),5))</f>
        <v>140700</v>
      </c>
      <c r="J10" s="22">
        <f t="shared" si="0"/>
        <v>331650</v>
      </c>
      <c r="K10" s="23"/>
      <c r="L10" s="24" t="s">
        <v>106</v>
      </c>
    </row>
    <row r="11" spans="2:12" x14ac:dyDescent="0.25">
      <c r="B11" s="10" t="s">
        <v>107</v>
      </c>
      <c r="C11" s="16" t="s">
        <v>64</v>
      </c>
      <c r="D11" s="17">
        <v>0</v>
      </c>
      <c r="E11" s="22">
        <f t="array" ref="E11">IF($D11="","",$D11*INDEX(Допущения!$C$25:$G$30,MATCH($C11,Допущения!$B$25:$B$30,0),1))</f>
        <v>0</v>
      </c>
      <c r="F11" s="22">
        <f t="array" ref="F11">IF($D11="","",$D11*INDEX(Допущения!$C$25:$G$30,MATCH($C11,Допущения!$B$25:$B$30,0),2))</f>
        <v>0</v>
      </c>
      <c r="G11" s="22">
        <f t="array" ref="G11">IF($D11="","",$D11*INDEX(Допущения!$C$25:$G$30,MATCH($C11,Допущения!$B$25:$B$30,0),3))</f>
        <v>0</v>
      </c>
      <c r="H11" s="22">
        <f t="array" ref="H11">IF($D11="","",$D11*INDEX(Допущения!$C$25:$G$30,MATCH($C11,Допущения!$B$25:$B$30,0),4))</f>
        <v>0</v>
      </c>
      <c r="I11" s="22">
        <f t="array" ref="I11">IF($D11="","",$D11*INDEX(Допущения!$C$25:$G$30,MATCH($C11,Допущения!$B$25:$B$30,0),5))</f>
        <v>0</v>
      </c>
      <c r="J11" s="22">
        <f t="shared" si="0"/>
        <v>0</v>
      </c>
      <c r="K11" s="23"/>
      <c r="L11" s="24" t="s">
        <v>108</v>
      </c>
    </row>
    <row r="12" spans="2:12" x14ac:dyDescent="0.25">
      <c r="B12" s="10" t="s">
        <v>109</v>
      </c>
      <c r="C12" s="16" t="s">
        <v>64</v>
      </c>
      <c r="D12" s="17">
        <v>11152.83</v>
      </c>
      <c r="E12" s="22">
        <f t="array" ref="E12">IF($D12="","",$D12*INDEX(Допущения!$C$25:$G$30,MATCH($C12,Допущения!$B$25:$B$30,0),1))</f>
        <v>11152.83</v>
      </c>
      <c r="F12" s="22">
        <f t="array" ref="F12">IF($D12="","",$D12*INDEX(Допущения!$C$25:$G$30,MATCH($C12,Допущения!$B$25:$B$30,0),2))</f>
        <v>44611.32</v>
      </c>
      <c r="G12" s="22">
        <f t="array" ref="G12">IF($D12="","",$D12*INDEX(Допущения!$C$25:$G$30,MATCH($C12,Допущения!$B$25:$B$30,0),3))</f>
        <v>111528.3</v>
      </c>
      <c r="H12" s="22">
        <f t="array" ref="H12">IF($D12="","",$D12*INDEX(Допущения!$C$25:$G$30,MATCH($C12,Допущения!$B$25:$B$30,0),4))</f>
        <v>185880.5</v>
      </c>
      <c r="I12" s="22">
        <f t="array" ref="I12">IF($D12="","",$D12*INDEX(Допущения!$C$25:$G$30,MATCH($C12,Допущения!$B$25:$B$30,0),5))</f>
        <v>260232.69999999998</v>
      </c>
      <c r="J12" s="22">
        <f t="shared" si="0"/>
        <v>613405.65</v>
      </c>
      <c r="K12" s="23"/>
      <c r="L12" s="24" t="s">
        <v>110</v>
      </c>
    </row>
    <row r="13" spans="2:12" x14ac:dyDescent="0.25">
      <c r="B13" s="10" t="s">
        <v>111</v>
      </c>
      <c r="C13" s="16" t="s">
        <v>90</v>
      </c>
      <c r="D13" s="17">
        <v>0</v>
      </c>
      <c r="E13" s="22">
        <f t="array" ref="E13">IF($D13="","",$D13*INDEX(Допущения!$C$25:$G$30,MATCH($C13,Допущения!$B$25:$B$30,0),1))</f>
        <v>0</v>
      </c>
      <c r="F13" s="22">
        <f t="array" ref="F13">IF($D13="","",$D13*INDEX(Допущения!$C$25:$G$30,MATCH($C13,Допущения!$B$25:$B$30,0),2))</f>
        <v>0</v>
      </c>
      <c r="G13" s="22">
        <f t="array" ref="G13">IF($D13="","",$D13*INDEX(Допущения!$C$25:$G$30,MATCH($C13,Допущения!$B$25:$B$30,0),3))</f>
        <v>0</v>
      </c>
      <c r="H13" s="22">
        <f t="array" ref="H13">IF($D13="","",$D13*INDEX(Допущения!$C$25:$G$30,MATCH($C13,Допущения!$B$25:$B$30,0),4))</f>
        <v>0</v>
      </c>
      <c r="I13" s="22">
        <f t="array" ref="I13">IF($D13="","",$D13*INDEX(Допущения!$C$25:$G$30,MATCH($C13,Допущения!$B$25:$B$30,0),5))</f>
        <v>0</v>
      </c>
      <c r="J13" s="22">
        <f t="shared" si="0"/>
        <v>0</v>
      </c>
      <c r="K13" s="23"/>
      <c r="L13" s="24" t="s">
        <v>112</v>
      </c>
    </row>
    <row r="14" spans="2:12" x14ac:dyDescent="0.25">
      <c r="B14" s="10"/>
      <c r="C14" s="16" t="s">
        <v>88</v>
      </c>
      <c r="D14" s="17">
        <v>0</v>
      </c>
      <c r="E14" s="22">
        <f t="array" ref="E14">IF($D14="","",$D14*INDEX(Допущения!$C$25:$G$30,MATCH($C14,Допущения!$B$25:$B$30,0),1))</f>
        <v>0</v>
      </c>
      <c r="F14" s="22">
        <f t="array" ref="F14">IF($D14="","",$D14*INDEX(Допущения!$C$25:$G$30,MATCH($C14,Допущения!$B$25:$B$30,0),2))</f>
        <v>0</v>
      </c>
      <c r="G14" s="22">
        <f t="array" ref="G14">IF($D14="","",$D14*INDEX(Допущения!$C$25:$G$30,MATCH($C14,Допущения!$B$25:$B$30,0),3))</f>
        <v>0</v>
      </c>
      <c r="H14" s="22">
        <f t="array" ref="H14">IF($D14="","",$D14*INDEX(Допущения!$C$25:$G$30,MATCH($C14,Допущения!$B$25:$B$30,0),4))</f>
        <v>0</v>
      </c>
      <c r="I14" s="22">
        <f t="array" ref="I14">IF($D14="","",$D14*INDEX(Допущения!$C$25:$G$30,MATCH($C14,Допущения!$B$25:$B$30,0),5))</f>
        <v>0</v>
      </c>
      <c r="J14" s="22">
        <f t="shared" si="0"/>
        <v>0</v>
      </c>
      <c r="K14" s="23"/>
      <c r="L14" s="24" t="s">
        <v>113</v>
      </c>
    </row>
    <row r="15" spans="2:12" x14ac:dyDescent="0.25">
      <c r="B15" s="25" t="s">
        <v>114</v>
      </c>
      <c r="C15" s="26"/>
      <c r="D15" s="26"/>
      <c r="E15" s="27">
        <f t="shared" ref="E15:J15" si="1">SUM(E7:E14)</f>
        <v>65295.990000000005</v>
      </c>
      <c r="F15" s="27">
        <f t="shared" si="1"/>
        <v>261183.96000000002</v>
      </c>
      <c r="G15" s="27">
        <f t="shared" si="1"/>
        <v>652959.9</v>
      </c>
      <c r="H15" s="27">
        <f t="shared" si="1"/>
        <v>1088266.5</v>
      </c>
      <c r="I15" s="27">
        <f t="shared" si="1"/>
        <v>1523573.0999999999</v>
      </c>
      <c r="J15" s="27">
        <f t="shared" si="1"/>
        <v>3591279.4499999997</v>
      </c>
      <c r="K15" s="28">
        <f>IFERROR(J15/$J$51,0)</f>
        <v>9.102274974229374E-2</v>
      </c>
      <c r="L15" s="26"/>
    </row>
    <row r="16" spans="2:12" x14ac:dyDescent="0.25">
      <c r="C16" s="29"/>
    </row>
    <row r="17" spans="2:12" x14ac:dyDescent="0.25">
      <c r="B17" s="7" t="s">
        <v>115</v>
      </c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2:12" x14ac:dyDescent="0.25">
      <c r="B18" s="10" t="s">
        <v>116</v>
      </c>
      <c r="C18" s="16" t="s">
        <v>64</v>
      </c>
      <c r="D18" s="17">
        <v>1800</v>
      </c>
      <c r="E18" s="22">
        <f t="array" ref="E18">IF($D18="","",$D18*INDEX(Допущения!$C$25:$G$30,MATCH($C18,Допущения!$B$25:$B$30,0),1))</f>
        <v>1800</v>
      </c>
      <c r="F18" s="22">
        <f t="array" ref="F18">IF($D18="","",$D18*INDEX(Допущения!$C$25:$G$30,MATCH($C18,Допущения!$B$25:$B$30,0),2))</f>
        <v>7200</v>
      </c>
      <c r="G18" s="22">
        <f t="array" ref="G18">IF($D18="","",$D18*INDEX(Допущения!$C$25:$G$30,MATCH($C18,Допущения!$B$25:$B$30,0),3))</f>
        <v>18000</v>
      </c>
      <c r="H18" s="22">
        <f t="array" ref="H18">IF($D18="","",$D18*INDEX(Допущения!$C$25:$G$30,MATCH($C18,Допущения!$B$25:$B$30,0),4))</f>
        <v>30000.000000000004</v>
      </c>
      <c r="I18" s="22">
        <f t="array" ref="I18">IF($D18="","",$D18*INDEX(Допущения!$C$25:$G$30,MATCH($C18,Допущения!$B$25:$B$30,0),5))</f>
        <v>42000</v>
      </c>
      <c r="J18" s="22">
        <f t="shared" ref="J18:J23" si="2">SUM(E18:I18)</f>
        <v>99000</v>
      </c>
      <c r="K18" s="23"/>
      <c r="L18" s="24" t="s">
        <v>117</v>
      </c>
    </row>
    <row r="19" spans="2:12" x14ac:dyDescent="0.25">
      <c r="B19" s="10" t="s">
        <v>118</v>
      </c>
      <c r="C19" s="16" t="s">
        <v>90</v>
      </c>
      <c r="D19" s="17">
        <v>1200</v>
      </c>
      <c r="E19" s="22">
        <f t="array" ref="E19">IF($D19="","",$D19*INDEX(Допущения!$C$25:$G$30,MATCH($C19,Допущения!$B$25:$B$30,0),1))</f>
        <v>1200</v>
      </c>
      <c r="F19" s="22">
        <f t="array" ref="F19">IF($D19="","",$D19*INDEX(Допущения!$C$25:$G$30,MATCH($C19,Допущения!$B$25:$B$30,0),2))</f>
        <v>1296</v>
      </c>
      <c r="G19" s="22">
        <f t="array" ref="G19">IF($D19="","",$D19*INDEX(Допущения!$C$25:$G$30,MATCH($C19,Допущения!$B$25:$B$30,0),3))</f>
        <v>1399.68</v>
      </c>
      <c r="H19" s="22">
        <f t="array" ref="H19">IF($D19="","",$D19*INDEX(Допущения!$C$25:$G$30,MATCH($C19,Допущения!$B$25:$B$30,0),4))</f>
        <v>1511.6544000000001</v>
      </c>
      <c r="I19" s="22">
        <f t="array" ref="I19">IF($D19="","",$D19*INDEX(Допущения!$C$25:$G$30,MATCH($C19,Допущения!$B$25:$B$30,0),5))</f>
        <v>1632.5867520000004</v>
      </c>
      <c r="J19" s="22">
        <f t="shared" si="2"/>
        <v>7039.9211520000008</v>
      </c>
      <c r="K19" s="23"/>
      <c r="L19" s="24" t="s">
        <v>119</v>
      </c>
    </row>
    <row r="20" spans="2:12" x14ac:dyDescent="0.25">
      <c r="B20" s="10" t="s">
        <v>120</v>
      </c>
      <c r="C20" s="16" t="s">
        <v>64</v>
      </c>
      <c r="D20" s="17">
        <v>0</v>
      </c>
      <c r="E20" s="22">
        <f t="array" ref="E20">IF($D20="","",$D20*INDEX(Допущения!$C$25:$G$30,MATCH($C20,Допущения!$B$25:$B$30,0),1))</f>
        <v>0</v>
      </c>
      <c r="F20" s="22">
        <f t="array" ref="F20">IF($D20="","",$D20*INDEX(Допущения!$C$25:$G$30,MATCH($C20,Допущения!$B$25:$B$30,0),2))</f>
        <v>0</v>
      </c>
      <c r="G20" s="22">
        <f t="array" ref="G20">IF($D20="","",$D20*INDEX(Допущения!$C$25:$G$30,MATCH($C20,Допущения!$B$25:$B$30,0),3))</f>
        <v>0</v>
      </c>
      <c r="H20" s="22">
        <f t="array" ref="H20">IF($D20="","",$D20*INDEX(Допущения!$C$25:$G$30,MATCH($C20,Допущения!$B$25:$B$30,0),4))</f>
        <v>0</v>
      </c>
      <c r="I20" s="22">
        <f t="array" ref="I20">IF($D20="","",$D20*INDEX(Допущения!$C$25:$G$30,MATCH($C20,Допущения!$B$25:$B$30,0),5))</f>
        <v>0</v>
      </c>
      <c r="J20" s="22">
        <f t="shared" si="2"/>
        <v>0</v>
      </c>
      <c r="K20" s="23"/>
      <c r="L20" s="24" t="s">
        <v>121</v>
      </c>
    </row>
    <row r="21" spans="2:12" ht="15.75" customHeight="1" x14ac:dyDescent="0.25">
      <c r="B21" s="10" t="s">
        <v>122</v>
      </c>
      <c r="C21" s="16" t="s">
        <v>90</v>
      </c>
      <c r="D21" s="17">
        <v>600</v>
      </c>
      <c r="E21" s="22">
        <f t="array" ref="E21">IF($D21="","",$D21*INDEX(Допущения!$C$25:$G$30,MATCH($C21,Допущения!$B$25:$B$30,0),1))</f>
        <v>600</v>
      </c>
      <c r="F21" s="22">
        <f t="array" ref="F21">IF($D21="","",$D21*INDEX(Допущения!$C$25:$G$30,MATCH($C21,Допущения!$B$25:$B$30,0),2))</f>
        <v>648</v>
      </c>
      <c r="G21" s="22">
        <f t="array" ref="G21">IF($D21="","",$D21*INDEX(Допущения!$C$25:$G$30,MATCH($C21,Допущения!$B$25:$B$30,0),3))</f>
        <v>699.84</v>
      </c>
      <c r="H21" s="22">
        <f t="array" ref="H21">IF($D21="","",$D21*INDEX(Допущения!$C$25:$G$30,MATCH($C21,Допущения!$B$25:$B$30,0),4))</f>
        <v>755.82720000000006</v>
      </c>
      <c r="I21" s="22">
        <f t="array" ref="I21">IF($D21="","",$D21*INDEX(Допущения!$C$25:$G$30,MATCH($C21,Допущения!$B$25:$B$30,0),5))</f>
        <v>816.29337600000019</v>
      </c>
      <c r="J21" s="22">
        <f t="shared" si="2"/>
        <v>3519.9605760000004</v>
      </c>
      <c r="K21" s="23"/>
      <c r="L21" s="24" t="s">
        <v>123</v>
      </c>
    </row>
    <row r="22" spans="2:12" ht="15.75" customHeight="1" x14ac:dyDescent="0.25">
      <c r="B22" s="10" t="s">
        <v>124</v>
      </c>
      <c r="C22" s="16" t="s">
        <v>90</v>
      </c>
      <c r="D22" s="17">
        <v>0</v>
      </c>
      <c r="E22" s="22">
        <f t="array" ref="E22">IF($D22="","",$D22*INDEX(Допущения!$C$25:$G$30,MATCH($C22,Допущения!$B$25:$B$30,0),1))</f>
        <v>0</v>
      </c>
      <c r="F22" s="22">
        <f t="array" ref="F22">IF($D22="","",$D22*INDEX(Допущения!$C$25:$G$30,MATCH($C22,Допущения!$B$25:$B$30,0),2))</f>
        <v>0</v>
      </c>
      <c r="G22" s="22">
        <f t="array" ref="G22">IF($D22="","",$D22*INDEX(Допущения!$C$25:$G$30,MATCH($C22,Допущения!$B$25:$B$30,0),3))</f>
        <v>0</v>
      </c>
      <c r="H22" s="22">
        <f t="array" ref="H22">IF($D22="","",$D22*INDEX(Допущения!$C$25:$G$30,MATCH($C22,Допущения!$B$25:$B$30,0),4))</f>
        <v>0</v>
      </c>
      <c r="I22" s="22">
        <f t="array" ref="I22">IF($D22="","",$D22*INDEX(Допущения!$C$25:$G$30,MATCH($C22,Допущения!$B$25:$B$30,0),5))</f>
        <v>0</v>
      </c>
      <c r="J22" s="22">
        <f t="shared" si="2"/>
        <v>0</v>
      </c>
      <c r="K22" s="23"/>
      <c r="L22" s="24" t="s">
        <v>125</v>
      </c>
    </row>
    <row r="23" spans="2:12" ht="15.75" customHeight="1" x14ac:dyDescent="0.25">
      <c r="B23" s="10"/>
      <c r="C23" s="16" t="s">
        <v>88</v>
      </c>
      <c r="D23" s="17">
        <v>0</v>
      </c>
      <c r="E23" s="22">
        <f t="array" ref="E23">IF($D23="","",$D23*INDEX(Допущения!$C$25:$G$30,MATCH($C23,Допущения!$B$25:$B$30,0),1))</f>
        <v>0</v>
      </c>
      <c r="F23" s="22">
        <f t="array" ref="F23">IF($D23="","",$D23*INDEX(Допущения!$C$25:$G$30,MATCH($C23,Допущения!$B$25:$B$30,0),2))</f>
        <v>0</v>
      </c>
      <c r="G23" s="22">
        <f t="array" ref="G23">IF($D23="","",$D23*INDEX(Допущения!$C$25:$G$30,MATCH($C23,Допущения!$B$25:$B$30,0),3))</f>
        <v>0</v>
      </c>
      <c r="H23" s="22">
        <f t="array" ref="H23">IF($D23="","",$D23*INDEX(Допущения!$C$25:$G$30,MATCH($C23,Допущения!$B$25:$B$30,0),4))</f>
        <v>0</v>
      </c>
      <c r="I23" s="22">
        <f t="array" ref="I23">IF($D23="","",$D23*INDEX(Допущения!$C$25:$G$30,MATCH($C23,Допущения!$B$25:$B$30,0),5))</f>
        <v>0</v>
      </c>
      <c r="J23" s="22">
        <f t="shared" si="2"/>
        <v>0</v>
      </c>
      <c r="K23" s="23"/>
      <c r="L23" s="24" t="s">
        <v>113</v>
      </c>
    </row>
    <row r="24" spans="2:12" ht="15.75" customHeight="1" x14ac:dyDescent="0.25">
      <c r="B24" s="25" t="s">
        <v>114</v>
      </c>
      <c r="C24" s="26"/>
      <c r="D24" s="26"/>
      <c r="E24" s="27">
        <f t="shared" ref="E24:J24" si="3">SUM(E18:E23)</f>
        <v>3600</v>
      </c>
      <c r="F24" s="27">
        <f t="shared" si="3"/>
        <v>9144</v>
      </c>
      <c r="G24" s="27">
        <f t="shared" si="3"/>
        <v>20099.52</v>
      </c>
      <c r="H24" s="27">
        <f t="shared" si="3"/>
        <v>32267.481600000003</v>
      </c>
      <c r="I24" s="27">
        <f t="shared" si="3"/>
        <v>44448.880128000004</v>
      </c>
      <c r="J24" s="27">
        <f t="shared" si="3"/>
        <v>109559.88172799999</v>
      </c>
      <c r="K24" s="28">
        <f>IFERROR(J24/$J$51,0)</f>
        <v>2.7768492636581219E-3</v>
      </c>
      <c r="L24" s="26"/>
    </row>
    <row r="25" spans="2:12" ht="15.75" customHeight="1" x14ac:dyDescent="0.25">
      <c r="C25" s="29"/>
    </row>
    <row r="26" spans="2:12" ht="15.75" customHeight="1" x14ac:dyDescent="0.25">
      <c r="B26" s="7" t="s">
        <v>126</v>
      </c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2:12" ht="15.75" customHeight="1" x14ac:dyDescent="0.25">
      <c r="B27" s="10" t="s">
        <v>127</v>
      </c>
      <c r="C27" s="16" t="s">
        <v>97</v>
      </c>
      <c r="D27" s="17">
        <v>137500</v>
      </c>
      <c r="E27" s="22">
        <f t="array" ref="E27">IF($D27="","",$D27*INDEX(Допущения!$C$25:$G$30,MATCH($C27,Допущения!$B$25:$B$30,0),1))</f>
        <v>137500</v>
      </c>
      <c r="F27" s="22">
        <f t="array" ref="F27">IF($D27="","",$D27*INDEX(Допущения!$C$25:$G$30,MATCH($C27,Допущения!$B$25:$B$30,0),2))</f>
        <v>858000</v>
      </c>
      <c r="G27" s="22">
        <f t="array" ref="G27">IF($D27="","",$D27*INDEX(Допущения!$C$25:$G$30,MATCH($C27,Допущения!$B$25:$B$30,0),3))</f>
        <v>2970000</v>
      </c>
      <c r="H27" s="22">
        <f t="array" ref="H27">IF($D27="","",$D27*INDEX(Допущения!$C$25:$G$30,MATCH($C27,Допущения!$B$25:$B$30,0),4))</f>
        <v>6160000</v>
      </c>
      <c r="I27" s="22">
        <f t="array" ref="I27">IF($D27="","",$D27*INDEX(Допущения!$C$25:$G$30,MATCH($C27,Допущения!$B$25:$B$30,0),5))</f>
        <v>9570000</v>
      </c>
      <c r="J27" s="22">
        <f t="shared" ref="J27:J31" si="4">SUM(E27:I27)</f>
        <v>19695500</v>
      </c>
      <c r="K27" s="23"/>
      <c r="L27" s="24" t="s">
        <v>128</v>
      </c>
    </row>
    <row r="28" spans="2:12" ht="15.75" customHeight="1" x14ac:dyDescent="0.25">
      <c r="B28" s="10" t="s">
        <v>129</v>
      </c>
      <c r="C28" s="16" t="s">
        <v>95</v>
      </c>
      <c r="D28" s="17">
        <v>18000</v>
      </c>
      <c r="E28" s="22">
        <f t="array" ref="E28">IF($D28="","",$D28*INDEX(Допущения!$C$25:$G$30,MATCH($C28,Допущения!$B$25:$B$30,0),1))</f>
        <v>18000</v>
      </c>
      <c r="F28" s="22">
        <f t="array" ref="F28">IF($D28="","",$D28*INDEX(Допущения!$C$25:$G$30,MATCH($C28,Допущения!$B$25:$B$30,0),2))</f>
        <v>108000</v>
      </c>
      <c r="G28" s="22">
        <f t="array" ref="G28">IF($D28="","",$D28*INDEX(Допущения!$C$25:$G$30,MATCH($C28,Допущения!$B$25:$B$30,0),3))</f>
        <v>360000</v>
      </c>
      <c r="H28" s="22">
        <f t="array" ref="H28">IF($D28="","",$D28*INDEX(Допущения!$C$25:$G$30,MATCH($C28,Допущения!$B$25:$B$30,0),4))</f>
        <v>720000</v>
      </c>
      <c r="I28" s="22">
        <f t="array" ref="I28">IF($D28="","",$D28*INDEX(Допущения!$C$25:$G$30,MATCH($C28,Допущения!$B$25:$B$30,0),5))</f>
        <v>1080000</v>
      </c>
      <c r="J28" s="22">
        <f t="shared" si="4"/>
        <v>2286000</v>
      </c>
      <c r="K28" s="23"/>
      <c r="L28" s="24" t="s">
        <v>130</v>
      </c>
    </row>
    <row r="29" spans="2:12" ht="15.75" customHeight="1" x14ac:dyDescent="0.25">
      <c r="B29" s="10" t="s">
        <v>131</v>
      </c>
      <c r="C29" s="16" t="s">
        <v>95</v>
      </c>
      <c r="D29" s="17">
        <v>7200</v>
      </c>
      <c r="E29" s="22">
        <f t="array" ref="E29">IF($D29="","",$D29*INDEX(Допущения!$C$25:$G$30,MATCH($C29,Допущения!$B$25:$B$30,0),1))</f>
        <v>7200</v>
      </c>
      <c r="F29" s="22">
        <f t="array" ref="F29">IF($D29="","",$D29*INDEX(Допущения!$C$25:$G$30,MATCH($C29,Допущения!$B$25:$B$30,0),2))</f>
        <v>43200</v>
      </c>
      <c r="G29" s="22">
        <f t="array" ref="G29">IF($D29="","",$D29*INDEX(Допущения!$C$25:$G$30,MATCH($C29,Допущения!$B$25:$B$30,0),3))</f>
        <v>144000</v>
      </c>
      <c r="H29" s="22">
        <f t="array" ref="H29">IF($D29="","",$D29*INDEX(Допущения!$C$25:$G$30,MATCH($C29,Допущения!$B$25:$B$30,0),4))</f>
        <v>288000</v>
      </c>
      <c r="I29" s="22">
        <f t="array" ref="I29">IF($D29="","",$D29*INDEX(Допущения!$C$25:$G$30,MATCH($C29,Допущения!$B$25:$B$30,0),5))</f>
        <v>432000</v>
      </c>
      <c r="J29" s="22">
        <f t="shared" si="4"/>
        <v>914400</v>
      </c>
      <c r="K29" s="23"/>
      <c r="L29" s="24" t="s">
        <v>132</v>
      </c>
    </row>
    <row r="30" spans="2:12" ht="15.75" customHeight="1" x14ac:dyDescent="0.25">
      <c r="B30" s="10" t="s">
        <v>133</v>
      </c>
      <c r="C30" s="16" t="s">
        <v>95</v>
      </c>
      <c r="D30" s="17">
        <f>Допущения!C8*0.1</f>
        <v>30000</v>
      </c>
      <c r="E30" s="22">
        <f t="array" ref="E30">IF($D30="","",$D30*INDEX(Допущения!$C$25:$G$30,MATCH($C30,Допущения!$B$25:$B$30,0),1))</f>
        <v>30000</v>
      </c>
      <c r="F30" s="22">
        <f t="array" ref="F30">IF($D30="","",$D30*INDEX(Допущения!$C$25:$G$30,MATCH($C30,Допущения!$B$25:$B$30,0),2))</f>
        <v>180000</v>
      </c>
      <c r="G30" s="22">
        <f t="array" ref="G30">IF($D30="","",$D30*INDEX(Допущения!$C$25:$G$30,MATCH($C30,Допущения!$B$25:$B$30,0),3))</f>
        <v>600000</v>
      </c>
      <c r="H30" s="22">
        <f t="array" ref="H30">IF($D30="","",$D30*INDEX(Допущения!$C$25:$G$30,MATCH($C30,Допущения!$B$25:$B$30,0),4))</f>
        <v>1200000</v>
      </c>
      <c r="I30" s="22">
        <f t="array" ref="I30">IF($D30="","",$D30*INDEX(Допущения!$C$25:$G$30,MATCH($C30,Допущения!$B$25:$B$30,0),5))</f>
        <v>1800000</v>
      </c>
      <c r="J30" s="22">
        <f t="shared" si="4"/>
        <v>3810000</v>
      </c>
      <c r="K30" s="23"/>
      <c r="L30" s="24" t="s">
        <v>134</v>
      </c>
    </row>
    <row r="31" spans="2:12" ht="15.75" customHeight="1" x14ac:dyDescent="0.25">
      <c r="B31" s="10"/>
      <c r="C31" s="16" t="s">
        <v>88</v>
      </c>
      <c r="D31" s="17">
        <v>0</v>
      </c>
      <c r="E31" s="22">
        <f t="array" ref="E31">IF($D31="","",$D31*INDEX(Допущения!$C$25:$G$30,MATCH($C31,Допущения!$B$25:$B$30,0),1))</f>
        <v>0</v>
      </c>
      <c r="F31" s="22">
        <f t="array" ref="F31">IF($D31="","",$D31*INDEX(Допущения!$C$25:$G$30,MATCH($C31,Допущения!$B$25:$B$30,0),2))</f>
        <v>0</v>
      </c>
      <c r="G31" s="22">
        <f t="array" ref="G31">IF($D31="","",$D31*INDEX(Допущения!$C$25:$G$30,MATCH($C31,Допущения!$B$25:$B$30,0),3))</f>
        <v>0</v>
      </c>
      <c r="H31" s="22">
        <f t="array" ref="H31">IF($D31="","",$D31*INDEX(Допущения!$C$25:$G$30,MATCH($C31,Допущения!$B$25:$B$30,0),4))</f>
        <v>0</v>
      </c>
      <c r="I31" s="22">
        <f t="array" ref="I31">IF($D31="","",$D31*INDEX(Допущения!$C$25:$G$30,MATCH($C31,Допущения!$B$25:$B$30,0),5))</f>
        <v>0</v>
      </c>
      <c r="J31" s="22">
        <f t="shared" si="4"/>
        <v>0</v>
      </c>
      <c r="K31" s="23"/>
      <c r="L31" s="24" t="s">
        <v>113</v>
      </c>
    </row>
    <row r="32" spans="2:12" ht="15.75" customHeight="1" x14ac:dyDescent="0.25">
      <c r="B32" s="25" t="s">
        <v>114</v>
      </c>
      <c r="C32" s="26"/>
      <c r="D32" s="26"/>
      <c r="E32" s="27">
        <f t="shared" ref="E32:J32" si="5">SUM(E27:E31)</f>
        <v>192700</v>
      </c>
      <c r="F32" s="27">
        <f t="shared" si="5"/>
        <v>1189200</v>
      </c>
      <c r="G32" s="27">
        <f t="shared" si="5"/>
        <v>4074000</v>
      </c>
      <c r="H32" s="27">
        <f t="shared" si="5"/>
        <v>8368000</v>
      </c>
      <c r="I32" s="27">
        <f t="shared" si="5"/>
        <v>12882000</v>
      </c>
      <c r="J32" s="27">
        <f t="shared" si="5"/>
        <v>26705900</v>
      </c>
      <c r="K32" s="28">
        <f>IFERROR(J32/$J$51,0)</f>
        <v>0.67687421326756469</v>
      </c>
      <c r="L32" s="26"/>
    </row>
    <row r="33" spans="2:12" ht="15.75" customHeight="1" x14ac:dyDescent="0.25">
      <c r="C33" s="29"/>
    </row>
    <row r="34" spans="2:12" ht="15.75" customHeight="1" x14ac:dyDescent="0.25">
      <c r="B34" s="7" t="s">
        <v>135</v>
      </c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2:12" ht="15.75" customHeight="1" x14ac:dyDescent="0.25">
      <c r="B35" s="10" t="s">
        <v>136</v>
      </c>
      <c r="C35" s="16" t="s">
        <v>92</v>
      </c>
      <c r="D35" s="17">
        <v>360000</v>
      </c>
      <c r="E35" s="22">
        <f t="array" ref="E35">IF($D35="","",$D35*INDEX(Допущения!$C$25:$G$30,MATCH($C35,Допущения!$B$25:$B$30,0),1))</f>
        <v>360000</v>
      </c>
      <c r="F35" s="22">
        <f t="array" ref="F35">IF($D35="","",$D35*INDEX(Допущения!$C$25:$G$30,MATCH($C35,Допущения!$B$25:$B$30,0),2))</f>
        <v>403200.00000000006</v>
      </c>
      <c r="G35" s="22">
        <f t="array" ref="G35">IF($D35="","",$D35*INDEX(Допущения!$C$25:$G$30,MATCH($C35,Допущения!$B$25:$B$30,0),3))</f>
        <v>451584.00000000006</v>
      </c>
      <c r="H35" s="22">
        <f t="array" ref="H35">IF($D35="","",$D35*INDEX(Допущения!$C$25:$G$30,MATCH($C35,Допущения!$B$25:$B$30,0),4))</f>
        <v>505774.08000000013</v>
      </c>
      <c r="I35" s="22">
        <f t="array" ref="I35">IF($D35="","",$D35*INDEX(Допущения!$C$25:$G$30,MATCH($C35,Допущения!$B$25:$B$30,0),5))</f>
        <v>566466.96960000019</v>
      </c>
      <c r="J35" s="22">
        <f t="shared" ref="J35:J39" si="6">SUM(E35:I35)</f>
        <v>2287025.0496000005</v>
      </c>
      <c r="K35" s="23"/>
      <c r="L35" s="24" t="s">
        <v>137</v>
      </c>
    </row>
    <row r="36" spans="2:12" ht="15.75" customHeight="1" x14ac:dyDescent="0.25">
      <c r="B36" s="10" t="s">
        <v>138</v>
      </c>
      <c r="C36" s="16" t="s">
        <v>92</v>
      </c>
      <c r="D36" s="17">
        <v>120000</v>
      </c>
      <c r="E36" s="22">
        <f t="array" ref="E36">IF($D36="","",$D36*INDEX(Допущения!$C$25:$G$30,MATCH($C36,Допущения!$B$25:$B$30,0),1))</f>
        <v>120000</v>
      </c>
      <c r="F36" s="22">
        <f t="array" ref="F36">IF($D36="","",$D36*INDEX(Допущения!$C$25:$G$30,MATCH($C36,Допущения!$B$25:$B$30,0),2))</f>
        <v>134400</v>
      </c>
      <c r="G36" s="22">
        <f t="array" ref="G36">IF($D36="","",$D36*INDEX(Допущения!$C$25:$G$30,MATCH($C36,Допущения!$B$25:$B$30,0),3))</f>
        <v>150528.00000000003</v>
      </c>
      <c r="H36" s="22">
        <f t="array" ref="H36">IF($D36="","",$D36*INDEX(Допущения!$C$25:$G$30,MATCH($C36,Допущения!$B$25:$B$30,0),4))</f>
        <v>168591.36000000004</v>
      </c>
      <c r="I36" s="22">
        <f t="array" ref="I36">IF($D36="","",$D36*INDEX(Допущения!$C$25:$G$30,MATCH($C36,Допущения!$B$25:$B$30,0),5))</f>
        <v>188822.32320000007</v>
      </c>
      <c r="J36" s="22">
        <f t="shared" si="6"/>
        <v>762341.6832000002</v>
      </c>
      <c r="K36" s="23"/>
      <c r="L36" s="24" t="s">
        <v>139</v>
      </c>
    </row>
    <row r="37" spans="2:12" ht="15.75" customHeight="1" x14ac:dyDescent="0.25">
      <c r="B37" s="10" t="s">
        <v>140</v>
      </c>
      <c r="C37" s="16" t="s">
        <v>92</v>
      </c>
      <c r="D37" s="17">
        <v>12000</v>
      </c>
      <c r="E37" s="22">
        <f t="array" ref="E37">IF($D37="","",$D37*INDEX(Допущения!$C$25:$G$30,MATCH($C37,Допущения!$B$25:$B$30,0),1))</f>
        <v>12000</v>
      </c>
      <c r="F37" s="22">
        <f t="array" ref="F37">IF($D37="","",$D37*INDEX(Допущения!$C$25:$G$30,MATCH($C37,Допущения!$B$25:$B$30,0),2))</f>
        <v>13440.000000000002</v>
      </c>
      <c r="G37" s="22">
        <f t="array" ref="G37">IF($D37="","",$D37*INDEX(Допущения!$C$25:$G$30,MATCH($C37,Допущения!$B$25:$B$30,0),3))</f>
        <v>15052.800000000003</v>
      </c>
      <c r="H37" s="22">
        <f t="array" ref="H37">IF($D37="","",$D37*INDEX(Допущения!$C$25:$G$30,MATCH($C37,Допущения!$B$25:$B$30,0),4))</f>
        <v>16859.136000000006</v>
      </c>
      <c r="I37" s="22">
        <f t="array" ref="I37">IF($D37="","",$D37*INDEX(Допущения!$C$25:$G$30,MATCH($C37,Допущения!$B$25:$B$30,0),5))</f>
        <v>18882.232320000006</v>
      </c>
      <c r="J37" s="22">
        <f t="shared" si="6"/>
        <v>76234.168320000012</v>
      </c>
      <c r="K37" s="23"/>
      <c r="L37" s="24" t="s">
        <v>141</v>
      </c>
    </row>
    <row r="38" spans="2:12" ht="15.75" customHeight="1" x14ac:dyDescent="0.25">
      <c r="B38" s="10" t="s">
        <v>142</v>
      </c>
      <c r="C38" s="16" t="s">
        <v>92</v>
      </c>
      <c r="D38" s="17">
        <v>24000</v>
      </c>
      <c r="E38" s="22">
        <f t="array" ref="E38">IF($D38="","",$D38*INDEX(Допущения!$C$25:$G$30,MATCH($C38,Допущения!$B$25:$B$30,0),1))</f>
        <v>24000</v>
      </c>
      <c r="F38" s="22">
        <f t="array" ref="F38">IF($D38="","",$D38*INDEX(Допущения!$C$25:$G$30,MATCH($C38,Допущения!$B$25:$B$30,0),2))</f>
        <v>26880.000000000004</v>
      </c>
      <c r="G38" s="22">
        <f t="array" ref="G38">IF($D38="","",$D38*INDEX(Допущения!$C$25:$G$30,MATCH($C38,Допущения!$B$25:$B$30,0),3))</f>
        <v>30105.600000000006</v>
      </c>
      <c r="H38" s="22">
        <f t="array" ref="H38">IF($D38="","",$D38*INDEX(Допущения!$C$25:$G$30,MATCH($C38,Допущения!$B$25:$B$30,0),4))</f>
        <v>33718.272000000012</v>
      </c>
      <c r="I38" s="22">
        <f t="array" ref="I38">IF($D38="","",$D38*INDEX(Допущения!$C$25:$G$30,MATCH($C38,Допущения!$B$25:$B$30,0),5))</f>
        <v>37764.464640000013</v>
      </c>
      <c r="J38" s="22">
        <f t="shared" si="6"/>
        <v>152468.33664000002</v>
      </c>
      <c r="K38" s="23"/>
      <c r="L38" s="24" t="s">
        <v>143</v>
      </c>
    </row>
    <row r="39" spans="2:12" ht="15.75" customHeight="1" x14ac:dyDescent="0.25">
      <c r="B39" s="10"/>
      <c r="C39" s="16" t="s">
        <v>88</v>
      </c>
      <c r="D39" s="17">
        <v>0</v>
      </c>
      <c r="E39" s="22">
        <f t="array" ref="E39">IF($D39="","",$D39*INDEX(Допущения!$C$25:$G$30,MATCH($C39,Допущения!$B$25:$B$30,0),1))</f>
        <v>0</v>
      </c>
      <c r="F39" s="22">
        <f t="array" ref="F39">IF($D39="","",$D39*INDEX(Допущения!$C$25:$G$30,MATCH($C39,Допущения!$B$25:$B$30,0),2))</f>
        <v>0</v>
      </c>
      <c r="G39" s="22">
        <f t="array" ref="G39">IF($D39="","",$D39*INDEX(Допущения!$C$25:$G$30,MATCH($C39,Допущения!$B$25:$B$30,0),3))</f>
        <v>0</v>
      </c>
      <c r="H39" s="22">
        <f t="array" ref="H39">IF($D39="","",$D39*INDEX(Допущения!$C$25:$G$30,MATCH($C39,Допущения!$B$25:$B$30,0),4))</f>
        <v>0</v>
      </c>
      <c r="I39" s="22">
        <f t="array" ref="I39">IF($D39="","",$D39*INDEX(Допущения!$C$25:$G$30,MATCH($C39,Допущения!$B$25:$B$30,0),5))</f>
        <v>0</v>
      </c>
      <c r="J39" s="22">
        <f t="shared" si="6"/>
        <v>0</v>
      </c>
      <c r="K39" s="23"/>
      <c r="L39" s="24" t="s">
        <v>113</v>
      </c>
    </row>
    <row r="40" spans="2:12" ht="15.75" customHeight="1" x14ac:dyDescent="0.25">
      <c r="B40" s="25" t="s">
        <v>114</v>
      </c>
      <c r="C40" s="26"/>
      <c r="D40" s="26"/>
      <c r="E40" s="27">
        <f t="shared" ref="E40:J40" si="7">SUM(E35:E39)</f>
        <v>516000</v>
      </c>
      <c r="F40" s="27">
        <f t="shared" si="7"/>
        <v>577920</v>
      </c>
      <c r="G40" s="27">
        <f t="shared" si="7"/>
        <v>647270.40000000014</v>
      </c>
      <c r="H40" s="27">
        <f t="shared" si="7"/>
        <v>724942.84800000023</v>
      </c>
      <c r="I40" s="27">
        <f t="shared" si="7"/>
        <v>811935.98976000026</v>
      </c>
      <c r="J40" s="27">
        <f t="shared" si="7"/>
        <v>3278069.2377600009</v>
      </c>
      <c r="K40" s="28">
        <f>IFERROR(J40/$J$51,0)</f>
        <v>8.3084282362526865E-2</v>
      </c>
      <c r="L40" s="26"/>
    </row>
    <row r="41" spans="2:12" ht="15.75" customHeight="1" x14ac:dyDescent="0.25">
      <c r="C41" s="29"/>
    </row>
    <row r="42" spans="2:12" ht="15.75" customHeight="1" x14ac:dyDescent="0.25">
      <c r="B42" s="7" t="s">
        <v>144</v>
      </c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2:12" ht="15.75" customHeight="1" x14ac:dyDescent="0.25">
      <c r="B43" s="10" t="s">
        <v>145</v>
      </c>
      <c r="C43" s="16" t="s">
        <v>88</v>
      </c>
      <c r="D43" s="17">
        <v>15000</v>
      </c>
      <c r="E43" s="22">
        <f t="array" ref="E43">IF($D43="","",$D43*INDEX(Допущения!$C$25:$G$30,MATCH($C43,Допущения!$B$25:$B$30,0),1))</f>
        <v>15000</v>
      </c>
      <c r="F43" s="22">
        <f t="array" ref="F43">IF($D43="","",$D43*INDEX(Допущения!$C$25:$G$30,MATCH($C43,Допущения!$B$25:$B$30,0),2))</f>
        <v>15000</v>
      </c>
      <c r="G43" s="22">
        <f t="array" ref="G43">IF($D43="","",$D43*INDEX(Допущения!$C$25:$G$30,MATCH($C43,Допущения!$B$25:$B$30,0),3))</f>
        <v>15000</v>
      </c>
      <c r="H43" s="22">
        <f t="array" ref="H43">IF($D43="","",$D43*INDEX(Допущения!$C$25:$G$30,MATCH($C43,Допущения!$B$25:$B$30,0),4))</f>
        <v>15000</v>
      </c>
      <c r="I43" s="22">
        <f t="array" ref="I43">IF($D43="","",$D43*INDEX(Допущения!$C$25:$G$30,MATCH($C43,Допущения!$B$25:$B$30,0),5))</f>
        <v>15000</v>
      </c>
      <c r="J43" s="22">
        <f t="shared" ref="J43:J47" si="8">SUM(E43:I43)</f>
        <v>75000</v>
      </c>
      <c r="K43" s="23"/>
      <c r="L43" s="24" t="s">
        <v>146</v>
      </c>
    </row>
    <row r="44" spans="2:12" ht="15.75" customHeight="1" x14ac:dyDescent="0.25">
      <c r="B44" s="10" t="s">
        <v>147</v>
      </c>
      <c r="C44" s="16" t="s">
        <v>90</v>
      </c>
      <c r="D44" s="17">
        <v>10000</v>
      </c>
      <c r="E44" s="22">
        <f t="array" ref="E44">IF($D44="","",$D44*INDEX(Допущения!$C$25:$G$30,MATCH($C44,Допущения!$B$25:$B$30,0),1))</f>
        <v>10000</v>
      </c>
      <c r="F44" s="22">
        <f t="array" ref="F44">IF($D44="","",$D44*INDEX(Допущения!$C$25:$G$30,MATCH($C44,Допущения!$B$25:$B$30,0),2))</f>
        <v>10800</v>
      </c>
      <c r="G44" s="22">
        <f t="array" ref="G44">IF($D44="","",$D44*INDEX(Допущения!$C$25:$G$30,MATCH($C44,Допущения!$B$25:$B$30,0),3))</f>
        <v>11664.000000000002</v>
      </c>
      <c r="H44" s="22">
        <f t="array" ref="H44">IF($D44="","",$D44*INDEX(Допущения!$C$25:$G$30,MATCH($C44,Допущения!$B$25:$B$30,0),4))</f>
        <v>12597.12</v>
      </c>
      <c r="I44" s="22">
        <f t="array" ref="I44">IF($D44="","",$D44*INDEX(Допущения!$C$25:$G$30,MATCH($C44,Допущения!$B$25:$B$30,0),5))</f>
        <v>13604.889600000002</v>
      </c>
      <c r="J44" s="22">
        <f t="shared" si="8"/>
        <v>58666.009600000005</v>
      </c>
      <c r="K44" s="23"/>
      <c r="L44" s="24" t="s">
        <v>148</v>
      </c>
    </row>
    <row r="45" spans="2:12" ht="15.75" customHeight="1" x14ac:dyDescent="0.25">
      <c r="B45" s="10" t="s">
        <v>149</v>
      </c>
      <c r="C45" s="16" t="s">
        <v>88</v>
      </c>
      <c r="D45" s="17">
        <v>98000</v>
      </c>
      <c r="E45" s="22">
        <f t="array" ref="E45">IF($D45="","",$D45*INDEX(Допущения!$C$25:$G$30,MATCH($C45,Допущения!$B$25:$B$30,0),1))</f>
        <v>98000</v>
      </c>
      <c r="F45" s="22">
        <f t="array" ref="F45">IF($D45="","",$D45*INDEX(Допущения!$C$25:$G$30,MATCH($C45,Допущения!$B$25:$B$30,0),2))</f>
        <v>98000</v>
      </c>
      <c r="G45" s="22">
        <f t="array" ref="G45">IF($D45="","",$D45*INDEX(Допущения!$C$25:$G$30,MATCH($C45,Допущения!$B$25:$B$30,0),3))</f>
        <v>98000</v>
      </c>
      <c r="H45" s="22">
        <f t="array" ref="H45">IF($D45="","",$D45*INDEX(Допущения!$C$25:$G$30,MATCH($C45,Допущения!$B$25:$B$30,0),4))</f>
        <v>98000</v>
      </c>
      <c r="I45" s="22">
        <f t="array" ref="I45">IF($D45="","",$D45*INDEX(Допущения!$C$25:$G$30,MATCH($C45,Допущения!$B$25:$B$30,0),5))</f>
        <v>98000</v>
      </c>
      <c r="J45" s="22">
        <f t="shared" si="8"/>
        <v>490000</v>
      </c>
      <c r="K45" s="23"/>
      <c r="L45" s="24" t="s">
        <v>150</v>
      </c>
    </row>
    <row r="46" spans="2:12" ht="15.75" customHeight="1" x14ac:dyDescent="0.25">
      <c r="B46" s="10" t="s">
        <v>151</v>
      </c>
      <c r="C46" s="16" t="s">
        <v>92</v>
      </c>
      <c r="D46" s="17">
        <v>0</v>
      </c>
      <c r="E46" s="22">
        <f t="array" ref="E46">IF($D46="","",$D46*INDEX(Допущения!$C$25:$G$30,MATCH($C46,Допущения!$B$25:$B$30,0),1))</f>
        <v>0</v>
      </c>
      <c r="F46" s="22">
        <f t="array" ref="F46">IF($D46="","",$D46*INDEX(Допущения!$C$25:$G$30,MATCH($C46,Допущения!$B$25:$B$30,0),2))</f>
        <v>0</v>
      </c>
      <c r="G46" s="22">
        <f t="array" ref="G46">IF($D46="","",$D46*INDEX(Допущения!$C$25:$G$30,MATCH($C46,Допущения!$B$25:$B$30,0),3))</f>
        <v>0</v>
      </c>
      <c r="H46" s="22">
        <f t="array" ref="H46">IF($D46="","",$D46*INDEX(Допущения!$C$25:$G$30,MATCH($C46,Допущения!$B$25:$B$30,0),4))</f>
        <v>0</v>
      </c>
      <c r="I46" s="22">
        <f t="array" ref="I46">IF($D46="","",$D46*INDEX(Допущения!$C$25:$G$30,MATCH($C46,Допущения!$B$25:$B$30,0),5))</f>
        <v>0</v>
      </c>
      <c r="J46" s="22">
        <f t="shared" si="8"/>
        <v>0</v>
      </c>
      <c r="K46" s="23"/>
      <c r="L46" s="24" t="s">
        <v>152</v>
      </c>
    </row>
    <row r="47" spans="2:12" ht="15.75" customHeight="1" x14ac:dyDescent="0.25">
      <c r="B47" s="10"/>
      <c r="C47" s="16" t="s">
        <v>88</v>
      </c>
      <c r="D47" s="17">
        <v>0</v>
      </c>
      <c r="E47" s="22">
        <f t="array" ref="E47">IF($D47="","",$D47*INDEX(Допущения!$C$25:$G$30,MATCH($C47,Допущения!$B$25:$B$30,0),1))</f>
        <v>0</v>
      </c>
      <c r="F47" s="22">
        <f t="array" ref="F47">IF($D47="","",$D47*INDEX(Допущения!$C$25:$G$30,MATCH($C47,Допущения!$B$25:$B$30,0),2))</f>
        <v>0</v>
      </c>
      <c r="G47" s="22">
        <f t="array" ref="G47">IF($D47="","",$D47*INDEX(Допущения!$C$25:$G$30,MATCH($C47,Допущения!$B$25:$B$30,0),3))</f>
        <v>0</v>
      </c>
      <c r="H47" s="22">
        <f t="array" ref="H47">IF($D47="","",$D47*INDEX(Допущения!$C$25:$G$30,MATCH($C47,Допущения!$B$25:$B$30,0),4))</f>
        <v>0</v>
      </c>
      <c r="I47" s="22">
        <f t="array" ref="I47">IF($D47="","",$D47*INDEX(Допущения!$C$25:$G$30,MATCH($C47,Допущения!$B$25:$B$30,0),5))</f>
        <v>0</v>
      </c>
      <c r="J47" s="22">
        <f t="shared" si="8"/>
        <v>0</v>
      </c>
      <c r="K47" s="23"/>
      <c r="L47" s="24" t="s">
        <v>113</v>
      </c>
    </row>
    <row r="48" spans="2:12" ht="15.75" customHeight="1" x14ac:dyDescent="0.25">
      <c r="B48" s="25" t="s">
        <v>114</v>
      </c>
      <c r="C48" s="26"/>
      <c r="D48" s="26"/>
      <c r="E48" s="27">
        <f t="shared" ref="E48:J48" si="9">SUM(E43:E47)</f>
        <v>123000</v>
      </c>
      <c r="F48" s="27">
        <f t="shared" si="9"/>
        <v>123800</v>
      </c>
      <c r="G48" s="27">
        <f t="shared" si="9"/>
        <v>124664</v>
      </c>
      <c r="H48" s="27">
        <f t="shared" si="9"/>
        <v>125597.12</v>
      </c>
      <c r="I48" s="27">
        <f t="shared" si="9"/>
        <v>126604.88959999999</v>
      </c>
      <c r="J48" s="27">
        <f t="shared" si="9"/>
        <v>623666.00959999999</v>
      </c>
      <c r="K48" s="28">
        <f>IFERROR(J48/$J$51,0)</f>
        <v>1.5807122755260878E-2</v>
      </c>
      <c r="L48" s="26"/>
    </row>
    <row r="49" spans="2:12" ht="15.75" customHeight="1" x14ac:dyDescent="0.25">
      <c r="C49" s="29"/>
    </row>
    <row r="50" spans="2:12" ht="15.75" customHeight="1" x14ac:dyDescent="0.25">
      <c r="B50" s="14" t="s">
        <v>153</v>
      </c>
      <c r="C50" s="29"/>
      <c r="E50" s="30">
        <f>(E15+E24+E32+E40+E48)*Допущения!$C$17</f>
        <v>135089.39849999998</v>
      </c>
      <c r="F50" s="30">
        <f>(F15+F24+F32+F40+F48)*Допущения!$C$17</f>
        <v>324187.19399999996</v>
      </c>
      <c r="G50" s="30">
        <f>(G15+G24+G32+G40+G48)*Допущения!$C$17</f>
        <v>827849.07299999997</v>
      </c>
      <c r="H50" s="30">
        <f>(H15+H24+H32+H40+H48)*Допущения!$C$17</f>
        <v>1550861.0924399996</v>
      </c>
      <c r="I50" s="30">
        <f>(I15+I24+I32+I40+I48)*Допущения!$C$17</f>
        <v>2308284.4289231999</v>
      </c>
      <c r="J50" s="22">
        <f t="shared" ref="J50:J51" si="10">SUM(E50:I50)</f>
        <v>5146271.1868631989</v>
      </c>
      <c r="L50" s="6" t="s">
        <v>154</v>
      </c>
    </row>
    <row r="51" spans="2:12" ht="15.75" customHeight="1" x14ac:dyDescent="0.25">
      <c r="B51" s="25" t="s">
        <v>155</v>
      </c>
      <c r="C51" s="29"/>
      <c r="E51" s="27">
        <f t="shared" ref="E51:I51" si="11">E15+E24+E32+E40+E48+E50</f>
        <v>1035685.3885</v>
      </c>
      <c r="F51" s="27">
        <f t="shared" si="11"/>
        <v>2485435.1540000001</v>
      </c>
      <c r="G51" s="27">
        <f t="shared" si="11"/>
        <v>6346842.8930000002</v>
      </c>
      <c r="H51" s="27">
        <f t="shared" si="11"/>
        <v>11889935.042039998</v>
      </c>
      <c r="I51" s="27">
        <f t="shared" si="11"/>
        <v>17696847.2884112</v>
      </c>
      <c r="J51" s="27">
        <f t="shared" si="10"/>
        <v>39454745.765951201</v>
      </c>
    </row>
    <row r="52" spans="2:12" ht="15.75" customHeight="1" x14ac:dyDescent="0.25">
      <c r="B52" s="7" t="s">
        <v>156</v>
      </c>
      <c r="C52" s="8"/>
      <c r="D52" s="8"/>
      <c r="E52" s="8"/>
      <c r="F52" s="8"/>
      <c r="G52" s="8"/>
      <c r="H52" s="8"/>
      <c r="I52" s="8"/>
      <c r="J52" s="8"/>
      <c r="K52" s="8"/>
      <c r="L52" s="8"/>
    </row>
    <row r="53" spans="2:12" ht="15.75" customHeight="1" x14ac:dyDescent="0.25">
      <c r="B53" s="10" t="s">
        <v>157</v>
      </c>
      <c r="E53" s="30">
        <f>(1-Допущения!$C$20)*525600*Допущения!$C$19*Допущения!$C$21</f>
        <v>630719.9999999305</v>
      </c>
      <c r="F53" s="30">
        <f>(1-Допущения!$C$20)*525600*Допущения!$C$19*Допущения!$C$21</f>
        <v>630719.9999999305</v>
      </c>
      <c r="G53" s="30">
        <f>(1-Допущения!$C$20)*525600*Допущения!$C$19*Допущения!$C$21</f>
        <v>630719.9999999305</v>
      </c>
      <c r="H53" s="30">
        <f>(1-Допущения!$C$20)*525600*Допущения!$C$19*Допущения!$C$21</f>
        <v>630719.9999999305</v>
      </c>
      <c r="I53" s="30">
        <f>(1-Допущения!$C$20)*525600*Допущения!$C$19*Допущения!$C$21</f>
        <v>630719.9999999305</v>
      </c>
      <c r="J53" s="22">
        <f t="shared" ref="J53:J54" si="12">SUM(E53:I53)</f>
        <v>3153599.9999996526</v>
      </c>
      <c r="L53" s="12" t="s">
        <v>158</v>
      </c>
    </row>
    <row r="54" spans="2:12" ht="15.75" customHeight="1" x14ac:dyDescent="0.25">
      <c r="B54" s="25" t="s">
        <v>159</v>
      </c>
      <c r="E54" s="27">
        <f t="shared" ref="E54:I54" si="13">E51+E53</f>
        <v>1666405.3884999305</v>
      </c>
      <c r="F54" s="27">
        <f t="shared" si="13"/>
        <v>3116155.1539999307</v>
      </c>
      <c r="G54" s="27">
        <f t="shared" si="13"/>
        <v>6977562.8929999303</v>
      </c>
      <c r="H54" s="27">
        <f t="shared" si="13"/>
        <v>12520655.042039929</v>
      </c>
      <c r="I54" s="27">
        <f t="shared" si="13"/>
        <v>18327567.288411129</v>
      </c>
      <c r="J54" s="27">
        <f t="shared" si="12"/>
        <v>42608345.765950844</v>
      </c>
    </row>
    <row r="55" spans="2:12" ht="15.75" customHeight="1" x14ac:dyDescent="0.25">
      <c r="B55" s="10" t="s">
        <v>160</v>
      </c>
      <c r="E55" s="31">
        <f>1/(1+Допущения!$C$16)^0</f>
        <v>1</v>
      </c>
      <c r="F55" s="31">
        <f>1/(1+Допущения!$C$16)^1</f>
        <v>0.83333333333333337</v>
      </c>
      <c r="G55" s="31">
        <f>1/(1+Допущения!$C$16)^2</f>
        <v>0.69444444444444442</v>
      </c>
      <c r="H55" s="31">
        <f>1/(1+Допущения!$C$16)^3</f>
        <v>0.57870370370370372</v>
      </c>
      <c r="I55" s="31">
        <f>1/(1+Допущения!$C$16)^4</f>
        <v>0.48225308641975312</v>
      </c>
    </row>
    <row r="56" spans="2:12" ht="15.75" customHeight="1" x14ac:dyDescent="0.25">
      <c r="B56" s="25" t="s">
        <v>161</v>
      </c>
      <c r="E56" s="27">
        <f t="shared" ref="E56:I56" si="14">E54*E55</f>
        <v>1666405.3884999305</v>
      </c>
      <c r="F56" s="27">
        <f t="shared" si="14"/>
        <v>2596795.9616666092</v>
      </c>
      <c r="G56" s="27">
        <f t="shared" si="14"/>
        <v>4845529.7868055068</v>
      </c>
      <c r="H56" s="27">
        <f t="shared" si="14"/>
        <v>7245749.4456249587</v>
      </c>
      <c r="I56" s="27">
        <f t="shared" si="14"/>
        <v>8838525.8914019726</v>
      </c>
      <c r="J56" s="27">
        <f>SUM(E56:I56)</f>
        <v>25193006.473998979</v>
      </c>
    </row>
    <row r="57" spans="2:12" ht="15.75" customHeight="1" x14ac:dyDescent="0.25"/>
    <row r="58" spans="2:12" ht="15.75" customHeight="1" x14ac:dyDescent="0.25">
      <c r="B58" s="7" t="s">
        <v>162</v>
      </c>
      <c r="C58" s="8"/>
      <c r="D58" s="8"/>
      <c r="E58" s="8"/>
      <c r="F58" s="8"/>
      <c r="G58" s="8"/>
      <c r="H58" s="8"/>
      <c r="I58" s="8"/>
      <c r="J58" s="8"/>
      <c r="K58" s="8"/>
      <c r="L58" s="8"/>
    </row>
    <row r="59" spans="2:12" ht="15.75" customHeight="1" x14ac:dyDescent="0.25">
      <c r="B59" s="14" t="s">
        <v>163</v>
      </c>
      <c r="E59" s="47">
        <f>J51</f>
        <v>39454745.765951201</v>
      </c>
      <c r="F59" s="48"/>
      <c r="L59" s="12" t="s">
        <v>164</v>
      </c>
    </row>
    <row r="60" spans="2:12" ht="15.75" customHeight="1" x14ac:dyDescent="0.25">
      <c r="B60" s="14" t="s">
        <v>165</v>
      </c>
      <c r="E60" s="47">
        <f>J54</f>
        <v>42608345.765950844</v>
      </c>
      <c r="F60" s="48"/>
      <c r="L60" s="12" t="s">
        <v>166</v>
      </c>
    </row>
    <row r="61" spans="2:12" ht="15.75" customHeight="1" x14ac:dyDescent="0.25">
      <c r="B61" s="14" t="s">
        <v>167</v>
      </c>
      <c r="E61" s="47">
        <f>J56</f>
        <v>25193006.473998979</v>
      </c>
      <c r="F61" s="48"/>
      <c r="L61" s="12" t="s">
        <v>168</v>
      </c>
    </row>
    <row r="62" spans="2:12" ht="15.75" customHeight="1" x14ac:dyDescent="0.25">
      <c r="B62" s="14" t="s">
        <v>169</v>
      </c>
      <c r="E62" s="47">
        <f>J51/5</f>
        <v>7890949.1531902403</v>
      </c>
      <c r="F62" s="48"/>
      <c r="L62" s="12" t="s">
        <v>170</v>
      </c>
    </row>
    <row r="63" spans="2:12" ht="15.75" customHeight="1" x14ac:dyDescent="0.25">
      <c r="B63" s="14" t="s">
        <v>171</v>
      </c>
      <c r="E63" s="47">
        <f>E15/12</f>
        <v>5441.3325000000004</v>
      </c>
      <c r="F63" s="48"/>
      <c r="L63" s="12" t="s">
        <v>172</v>
      </c>
    </row>
    <row r="64" spans="2:12" ht="15.75" customHeight="1" x14ac:dyDescent="0.25">
      <c r="B64" s="14" t="s">
        <v>173</v>
      </c>
      <c r="E64" s="49" t="str">
        <f>IF(E15/12&lt;=Допущения!$C$18,"В бюджете CFO","ПРЕВЫШЕНИЕ бюджета")</f>
        <v>В бюджете CFO</v>
      </c>
      <c r="F64" s="48"/>
      <c r="L64" s="12" t="s">
        <v>174</v>
      </c>
    </row>
    <row r="65" spans="2:12" ht="15.75" customHeight="1" x14ac:dyDescent="0.25">
      <c r="B65" s="14" t="s">
        <v>175</v>
      </c>
      <c r="E65" s="50">
        <f>IFERROR(J51/SUM(Допущения!$C$8:$G$8),0)</f>
        <v>1.0355576316522626</v>
      </c>
      <c r="F65" s="48"/>
      <c r="L65" s="12" t="s">
        <v>176</v>
      </c>
    </row>
    <row r="66" spans="2:12" ht="15.75" customHeight="1" x14ac:dyDescent="0.25">
      <c r="B66" s="14" t="s">
        <v>177</v>
      </c>
      <c r="E66" s="50">
        <f>IFERROR(I51/Допущения!$G$7,0)</f>
        <v>5.0562420824031999</v>
      </c>
      <c r="F66" s="48"/>
      <c r="L66" s="12" t="s">
        <v>178</v>
      </c>
    </row>
    <row r="67" spans="2:12" ht="15.75" customHeight="1" x14ac:dyDescent="0.25">
      <c r="B67" s="14" t="s">
        <v>179</v>
      </c>
      <c r="E67" s="51">
        <f>IFERROR(J51/SUM(Допущения!$C$10:$G$10),0)</f>
        <v>3.6726003691660805E-2</v>
      </c>
      <c r="F67" s="48"/>
      <c r="L67" s="12" t="s">
        <v>180</v>
      </c>
    </row>
    <row r="68" spans="2:12" ht="15.75" customHeight="1" x14ac:dyDescent="0.25">
      <c r="B68" s="14" t="s">
        <v>181</v>
      </c>
      <c r="E68" s="52">
        <f>IFERROR(J15/J51,0)</f>
        <v>9.102274974229374E-2</v>
      </c>
      <c r="F68" s="48"/>
      <c r="L68" s="12" t="s">
        <v>182</v>
      </c>
    </row>
    <row r="69" spans="2:12" ht="15.75" customHeight="1" x14ac:dyDescent="0.25">
      <c r="B69" s="14" t="s">
        <v>183</v>
      </c>
      <c r="E69" s="52">
        <f>IFERROR(J32/J51,0)</f>
        <v>0.67687421326756469</v>
      </c>
      <c r="F69" s="48"/>
      <c r="L69" s="12" t="s">
        <v>184</v>
      </c>
    </row>
    <row r="70" spans="2:12" ht="15.75" customHeight="1" x14ac:dyDescent="0.25">
      <c r="B70" s="14" t="s">
        <v>185</v>
      </c>
      <c r="E70" s="52">
        <f>IFERROR(J40/J51,0)</f>
        <v>8.3084282362526865E-2</v>
      </c>
      <c r="F70" s="48"/>
      <c r="L70" s="12" t="s">
        <v>186</v>
      </c>
    </row>
    <row r="71" spans="2:12" ht="15.75" customHeight="1" x14ac:dyDescent="0.25"/>
    <row r="72" spans="2:12" ht="15.75" customHeight="1" x14ac:dyDescent="0.25">
      <c r="B72" s="38" t="s">
        <v>187</v>
      </c>
      <c r="C72" s="36"/>
      <c r="D72" s="36"/>
      <c r="E72" s="36"/>
      <c r="F72" s="36"/>
      <c r="G72" s="36"/>
      <c r="H72" s="36"/>
      <c r="I72" s="36"/>
      <c r="J72" s="36"/>
      <c r="K72" s="36"/>
      <c r="L72" s="36"/>
    </row>
    <row r="73" spans="2:12" ht="15" customHeight="1" x14ac:dyDescent="0.25">
      <c r="B73" s="39" t="s">
        <v>189</v>
      </c>
      <c r="C73" s="40"/>
      <c r="D73" s="40"/>
      <c r="E73" s="40"/>
      <c r="F73" s="40"/>
      <c r="G73" s="40"/>
      <c r="H73" s="40"/>
      <c r="I73" s="40"/>
      <c r="J73" s="40"/>
      <c r="K73" s="40"/>
      <c r="L73" s="41"/>
    </row>
    <row r="74" spans="2:12" ht="15.75" customHeight="1" x14ac:dyDescent="0.25">
      <c r="B74" s="42"/>
      <c r="C74" s="36"/>
      <c r="D74" s="36"/>
      <c r="E74" s="36"/>
      <c r="F74" s="36"/>
      <c r="G74" s="36"/>
      <c r="H74" s="36"/>
      <c r="I74" s="36"/>
      <c r="J74" s="36"/>
      <c r="K74" s="36"/>
      <c r="L74" s="43"/>
    </row>
    <row r="75" spans="2:12" ht="15.75" customHeight="1" x14ac:dyDescent="0.25">
      <c r="B75" s="44"/>
      <c r="C75" s="45"/>
      <c r="D75" s="45"/>
      <c r="E75" s="45"/>
      <c r="F75" s="45"/>
      <c r="G75" s="45"/>
      <c r="H75" s="45"/>
      <c r="I75" s="45"/>
      <c r="J75" s="45"/>
      <c r="K75" s="45"/>
      <c r="L75" s="46"/>
    </row>
    <row r="76" spans="2:12" ht="15.75" customHeight="1" x14ac:dyDescent="0.25"/>
    <row r="77" spans="2:12" ht="15.75" customHeight="1" x14ac:dyDescent="0.25"/>
    <row r="78" spans="2:12" ht="15.75" customHeight="1" x14ac:dyDescent="0.25"/>
    <row r="79" spans="2:12" ht="15.75" customHeight="1" x14ac:dyDescent="0.25"/>
    <row r="80" spans="2:12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4">
    <mergeCell ref="B72:L72"/>
    <mergeCell ref="B73:L75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</mergeCells>
  <dataValidations count="1">
    <dataValidation type="list" allowBlank="1" sqref="C6:C51" xr:uid="{00000000-0002-0000-0300-000000000000}">
      <formula1>"фикс,инфляция,ФОТ,пользователи,заказы,GMV"</formula1>
    </dataValidation>
  </dataValidation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1000"/>
  <sheetViews>
    <sheetView showGridLines="0"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37" sqref="B37"/>
    </sheetView>
  </sheetViews>
  <sheetFormatPr defaultColWidth="14.42578125" defaultRowHeight="15" customHeight="1" x14ac:dyDescent="0.25"/>
  <cols>
    <col min="1" max="1" width="3" customWidth="1"/>
    <col min="2" max="2" width="44" customWidth="1"/>
    <col min="3" max="3" width="16" customWidth="1"/>
    <col min="4" max="4" width="15" customWidth="1"/>
    <col min="5" max="10" width="14" customWidth="1"/>
    <col min="11" max="11" width="10" customWidth="1"/>
    <col min="12" max="12" width="46" customWidth="1"/>
    <col min="13" max="26" width="8.7109375" customWidth="1"/>
  </cols>
  <sheetData>
    <row r="2" spans="2:12" ht="18" x14ac:dyDescent="0.25">
      <c r="B2" s="1" t="s">
        <v>1</v>
      </c>
    </row>
    <row r="3" spans="2:12" x14ac:dyDescent="0.25">
      <c r="B3" s="6" t="s">
        <v>5</v>
      </c>
    </row>
    <row r="5" spans="2:12" ht="31.5" customHeight="1" x14ac:dyDescent="0.25">
      <c r="B5" s="9" t="s">
        <v>41</v>
      </c>
      <c r="C5" s="9" t="s">
        <v>49</v>
      </c>
      <c r="D5" s="9" t="s">
        <v>52</v>
      </c>
      <c r="E5" s="9" t="s">
        <v>42</v>
      </c>
      <c r="F5" s="9" t="s">
        <v>44</v>
      </c>
      <c r="G5" s="9" t="s">
        <v>46</v>
      </c>
      <c r="H5" s="9" t="s">
        <v>47</v>
      </c>
      <c r="I5" s="9" t="s">
        <v>48</v>
      </c>
      <c r="J5" s="9" t="s">
        <v>60</v>
      </c>
      <c r="K5" s="9" t="s">
        <v>61</v>
      </c>
      <c r="L5" s="9" t="s">
        <v>50</v>
      </c>
    </row>
    <row r="6" spans="2:12" x14ac:dyDescent="0.25">
      <c r="B6" s="7" t="s">
        <v>62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2:12" x14ac:dyDescent="0.25">
      <c r="B7" s="10" t="s">
        <v>63</v>
      </c>
      <c r="C7" s="16" t="s">
        <v>64</v>
      </c>
      <c r="D7" s="17">
        <v>64800</v>
      </c>
      <c r="E7" s="22">
        <f t="array" ref="E7">IF($D7="","",$D7*INDEX(Допущения!$C$25:$G$30,MATCH($C7,Допущения!$B$25:$B$30,0),1))</f>
        <v>64800</v>
      </c>
      <c r="F7" s="22">
        <f t="array" ref="F7">IF($D7="","",$D7*INDEX(Допущения!$C$25:$G$30,MATCH($C7,Допущения!$B$25:$B$30,0),2))</f>
        <v>259200</v>
      </c>
      <c r="G7" s="22">
        <f t="array" ref="G7">IF($D7="","",$D7*INDEX(Допущения!$C$25:$G$30,MATCH($C7,Допущения!$B$25:$B$30,0),3))</f>
        <v>648000</v>
      </c>
      <c r="H7" s="22">
        <f t="array" ref="H7">IF($D7="","",$D7*INDEX(Допущения!$C$25:$G$30,MATCH($C7,Допущения!$B$25:$B$30,0),4))</f>
        <v>1080000</v>
      </c>
      <c r="I7" s="22">
        <f t="array" ref="I7">IF($D7="","",$D7*INDEX(Допущения!$C$25:$G$30,MATCH($C7,Допущения!$B$25:$B$30,0),5))</f>
        <v>1512000</v>
      </c>
      <c r="J7" s="22">
        <f t="shared" ref="J7:J14" si="0">SUM(E7:I7)</f>
        <v>3564000</v>
      </c>
      <c r="K7" s="23"/>
      <c r="L7" s="24" t="s">
        <v>100</v>
      </c>
    </row>
    <row r="8" spans="2:12" x14ac:dyDescent="0.25">
      <c r="B8" s="10" t="s">
        <v>101</v>
      </c>
      <c r="C8" s="16" t="s">
        <v>64</v>
      </c>
      <c r="D8" s="17">
        <v>64800</v>
      </c>
      <c r="E8" s="22">
        <f t="array" ref="E8">IF($D8="","",$D8*INDEX(Допущения!$C$25:$G$30,MATCH($C8,Допущения!$B$25:$B$30,0),1))</f>
        <v>64800</v>
      </c>
      <c r="F8" s="22">
        <f t="array" ref="F8">IF($D8="","",$D8*INDEX(Допущения!$C$25:$G$30,MATCH($C8,Допущения!$B$25:$B$30,0),2))</f>
        <v>259200</v>
      </c>
      <c r="G8" s="22">
        <f t="array" ref="G8">IF($D8="","",$D8*INDEX(Допущения!$C$25:$G$30,MATCH($C8,Допущения!$B$25:$B$30,0),3))</f>
        <v>648000</v>
      </c>
      <c r="H8" s="22">
        <f t="array" ref="H8">IF($D8="","",$D8*INDEX(Допущения!$C$25:$G$30,MATCH($C8,Допущения!$B$25:$B$30,0),4))</f>
        <v>1080000</v>
      </c>
      <c r="I8" s="22">
        <f t="array" ref="I8">IF($D8="","",$D8*INDEX(Допущения!$C$25:$G$30,MATCH($C8,Допущения!$B$25:$B$30,0),5))</f>
        <v>1512000</v>
      </c>
      <c r="J8" s="22">
        <f t="shared" si="0"/>
        <v>3564000</v>
      </c>
      <c r="K8" s="23"/>
      <c r="L8" s="24" t="s">
        <v>102</v>
      </c>
    </row>
    <row r="9" spans="2:12" x14ac:dyDescent="0.25">
      <c r="B9" s="10" t="s">
        <v>103</v>
      </c>
      <c r="C9" s="16" t="s">
        <v>64</v>
      </c>
      <c r="D9" s="17">
        <v>17280</v>
      </c>
      <c r="E9" s="22">
        <f t="array" ref="E9">IF($D9="","",$D9*INDEX(Допущения!$C$25:$G$30,MATCH($C9,Допущения!$B$25:$B$30,0),1))</f>
        <v>17280</v>
      </c>
      <c r="F9" s="22">
        <f t="array" ref="F9">IF($D9="","",$D9*INDEX(Допущения!$C$25:$G$30,MATCH($C9,Допущения!$B$25:$B$30,0),2))</f>
        <v>69120</v>
      </c>
      <c r="G9" s="22">
        <f t="array" ref="G9">IF($D9="","",$D9*INDEX(Допущения!$C$25:$G$30,MATCH($C9,Допущения!$B$25:$B$30,0),3))</f>
        <v>172800</v>
      </c>
      <c r="H9" s="22">
        <f t="array" ref="H9">IF($D9="","",$D9*INDEX(Допущения!$C$25:$G$30,MATCH($C9,Допущения!$B$25:$B$30,0),4))</f>
        <v>288000</v>
      </c>
      <c r="I9" s="22">
        <f t="array" ref="I9">IF($D9="","",$D9*INDEX(Допущения!$C$25:$G$30,MATCH($C9,Допущения!$B$25:$B$30,0),5))</f>
        <v>403200</v>
      </c>
      <c r="J9" s="22">
        <f t="shared" si="0"/>
        <v>950400</v>
      </c>
      <c r="K9" s="23"/>
      <c r="L9" s="24" t="s">
        <v>104</v>
      </c>
    </row>
    <row r="10" spans="2:12" x14ac:dyDescent="0.25">
      <c r="B10" s="10" t="s">
        <v>105</v>
      </c>
      <c r="C10" s="16" t="s">
        <v>64</v>
      </c>
      <c r="D10" s="17">
        <v>15120.000000000002</v>
      </c>
      <c r="E10" s="22">
        <f t="array" ref="E10">IF($D10="","",$D10*INDEX(Допущения!$C$25:$G$30,MATCH($C10,Допущения!$B$25:$B$30,0),1))</f>
        <v>15120.000000000002</v>
      </c>
      <c r="F10" s="22">
        <f t="array" ref="F10">IF($D10="","",$D10*INDEX(Допущения!$C$25:$G$30,MATCH($C10,Допущения!$B$25:$B$30,0),2))</f>
        <v>60480.000000000007</v>
      </c>
      <c r="G10" s="22">
        <f t="array" ref="G10">IF($D10="","",$D10*INDEX(Допущения!$C$25:$G$30,MATCH($C10,Допущения!$B$25:$B$30,0),3))</f>
        <v>151200.00000000003</v>
      </c>
      <c r="H10" s="22">
        <f t="array" ref="H10">IF($D10="","",$D10*INDEX(Допущения!$C$25:$G$30,MATCH($C10,Допущения!$B$25:$B$30,0),4))</f>
        <v>252000.00000000006</v>
      </c>
      <c r="I10" s="22">
        <f t="array" ref="I10">IF($D10="","",$D10*INDEX(Допущения!$C$25:$G$30,MATCH($C10,Допущения!$B$25:$B$30,0),5))</f>
        <v>352800</v>
      </c>
      <c r="J10" s="22">
        <f t="shared" si="0"/>
        <v>831600.00000000012</v>
      </c>
      <c r="K10" s="23"/>
      <c r="L10" s="24" t="s">
        <v>106</v>
      </c>
    </row>
    <row r="11" spans="2:12" x14ac:dyDescent="0.25">
      <c r="B11" s="10" t="s">
        <v>107</v>
      </c>
      <c r="C11" s="16" t="s">
        <v>64</v>
      </c>
      <c r="D11" s="17">
        <v>0</v>
      </c>
      <c r="E11" s="22">
        <f t="array" ref="E11">IF($D11="","",$D11*INDEX(Допущения!$C$25:$G$30,MATCH($C11,Допущения!$B$25:$B$30,0),1))</f>
        <v>0</v>
      </c>
      <c r="F11" s="22">
        <f t="array" ref="F11">IF($D11="","",$D11*INDEX(Допущения!$C$25:$G$30,MATCH($C11,Допущения!$B$25:$B$30,0),2))</f>
        <v>0</v>
      </c>
      <c r="G11" s="22">
        <f t="array" ref="G11">IF($D11="","",$D11*INDEX(Допущения!$C$25:$G$30,MATCH($C11,Допущения!$B$25:$B$30,0),3))</f>
        <v>0</v>
      </c>
      <c r="H11" s="22">
        <f t="array" ref="H11">IF($D11="","",$D11*INDEX(Допущения!$C$25:$G$30,MATCH($C11,Допущения!$B$25:$B$30,0),4))</f>
        <v>0</v>
      </c>
      <c r="I11" s="22">
        <f t="array" ref="I11">IF($D11="","",$D11*INDEX(Допущения!$C$25:$G$30,MATCH($C11,Допущения!$B$25:$B$30,0),5))</f>
        <v>0</v>
      </c>
      <c r="J11" s="22">
        <f t="shared" si="0"/>
        <v>0</v>
      </c>
      <c r="K11" s="23"/>
      <c r="L11" s="24" t="s">
        <v>108</v>
      </c>
    </row>
    <row r="12" spans="2:12" x14ac:dyDescent="0.25">
      <c r="B12" s="10" t="s">
        <v>109</v>
      </c>
      <c r="C12" s="16" t="s">
        <v>64</v>
      </c>
      <c r="D12" s="17">
        <v>0</v>
      </c>
      <c r="E12" s="22">
        <f t="array" ref="E12">IF($D12="","",$D12*INDEX(Допущения!$C$25:$G$30,MATCH($C12,Допущения!$B$25:$B$30,0),1))</f>
        <v>0</v>
      </c>
      <c r="F12" s="22">
        <f t="array" ref="F12">IF($D12="","",$D12*INDEX(Допущения!$C$25:$G$30,MATCH($C12,Допущения!$B$25:$B$30,0),2))</f>
        <v>0</v>
      </c>
      <c r="G12" s="22">
        <f t="array" ref="G12">IF($D12="","",$D12*INDEX(Допущения!$C$25:$G$30,MATCH($C12,Допущения!$B$25:$B$30,0),3))</f>
        <v>0</v>
      </c>
      <c r="H12" s="22">
        <f t="array" ref="H12">IF($D12="","",$D12*INDEX(Допущения!$C$25:$G$30,MATCH($C12,Допущения!$B$25:$B$30,0),4))</f>
        <v>0</v>
      </c>
      <c r="I12" s="22">
        <f t="array" ref="I12">IF($D12="","",$D12*INDEX(Допущения!$C$25:$G$30,MATCH($C12,Допущения!$B$25:$B$30,0),5))</f>
        <v>0</v>
      </c>
      <c r="J12" s="22">
        <f t="shared" si="0"/>
        <v>0</v>
      </c>
      <c r="K12" s="23"/>
      <c r="L12" s="24" t="s">
        <v>110</v>
      </c>
    </row>
    <row r="13" spans="2:12" x14ac:dyDescent="0.25">
      <c r="B13" s="10" t="s">
        <v>111</v>
      </c>
      <c r="C13" s="16" t="s">
        <v>90</v>
      </c>
      <c r="D13" s="17">
        <v>11152.83</v>
      </c>
      <c r="E13" s="22">
        <f t="array" ref="E13">IF($D13="","",$D13*INDEX(Допущения!$C$25:$G$30,MATCH($C13,Допущения!$B$25:$B$30,0),1))</f>
        <v>11152.83</v>
      </c>
      <c r="F13" s="22">
        <f t="array" ref="F13">IF($D13="","",$D13*INDEX(Допущения!$C$25:$G$30,MATCH($C13,Допущения!$B$25:$B$30,0),2))</f>
        <v>12045.056400000001</v>
      </c>
      <c r="G13" s="22">
        <f t="array" ref="G13">IF($D13="","",$D13*INDEX(Допущения!$C$25:$G$30,MATCH($C13,Допущения!$B$25:$B$30,0),3))</f>
        <v>13008.660912000001</v>
      </c>
      <c r="H13" s="22">
        <f t="array" ref="H13">IF($D13="","",$D13*INDEX(Допущения!$C$25:$G$30,MATCH($C13,Допущения!$B$25:$B$30,0),4))</f>
        <v>14049.353784960002</v>
      </c>
      <c r="I13" s="22">
        <f t="array" ref="I13">IF($D13="","",$D13*INDEX(Допущения!$C$25:$G$30,MATCH($C13,Допущения!$B$25:$B$30,0),5))</f>
        <v>15173.302087756803</v>
      </c>
      <c r="J13" s="22">
        <f t="shared" si="0"/>
        <v>65429.203184716811</v>
      </c>
      <c r="K13" s="23"/>
      <c r="L13" s="24" t="s">
        <v>112</v>
      </c>
    </row>
    <row r="14" spans="2:12" x14ac:dyDescent="0.25">
      <c r="B14" s="10"/>
      <c r="C14" s="16" t="s">
        <v>88</v>
      </c>
      <c r="D14" s="17">
        <v>0</v>
      </c>
      <c r="E14" s="22">
        <f t="array" ref="E14">IF($D14="","",$D14*INDEX(Допущения!$C$25:$G$30,MATCH($C14,Допущения!$B$25:$B$30,0),1))</f>
        <v>0</v>
      </c>
      <c r="F14" s="22">
        <f t="array" ref="F14">IF($D14="","",$D14*INDEX(Допущения!$C$25:$G$30,MATCH($C14,Допущения!$B$25:$B$30,0),2))</f>
        <v>0</v>
      </c>
      <c r="G14" s="22">
        <f t="array" ref="G14">IF($D14="","",$D14*INDEX(Допущения!$C$25:$G$30,MATCH($C14,Допущения!$B$25:$B$30,0),3))</f>
        <v>0</v>
      </c>
      <c r="H14" s="22">
        <f t="array" ref="H14">IF($D14="","",$D14*INDEX(Допущения!$C$25:$G$30,MATCH($C14,Допущения!$B$25:$B$30,0),4))</f>
        <v>0</v>
      </c>
      <c r="I14" s="22">
        <f t="array" ref="I14">IF($D14="","",$D14*INDEX(Допущения!$C$25:$G$30,MATCH($C14,Допущения!$B$25:$B$30,0),5))</f>
        <v>0</v>
      </c>
      <c r="J14" s="22">
        <f t="shared" si="0"/>
        <v>0</v>
      </c>
      <c r="K14" s="23"/>
      <c r="L14" s="24" t="s">
        <v>113</v>
      </c>
    </row>
    <row r="15" spans="2:12" x14ac:dyDescent="0.25">
      <c r="B15" s="25" t="s">
        <v>114</v>
      </c>
      <c r="C15" s="26"/>
      <c r="D15" s="26"/>
      <c r="E15" s="27">
        <f t="shared" ref="E15:J15" si="1">SUM(E7:E14)</f>
        <v>173152.83</v>
      </c>
      <c r="F15" s="27">
        <f t="shared" si="1"/>
        <v>660045.0564</v>
      </c>
      <c r="G15" s="27">
        <f t="shared" si="1"/>
        <v>1633008.6609120001</v>
      </c>
      <c r="H15" s="27">
        <f t="shared" si="1"/>
        <v>2714049.3537849602</v>
      </c>
      <c r="I15" s="27">
        <f t="shared" si="1"/>
        <v>3795173.3020877568</v>
      </c>
      <c r="J15" s="27">
        <f t="shared" si="1"/>
        <v>8975429.2031847164</v>
      </c>
      <c r="K15" s="28">
        <f>IFERROR(J15/$J$51,0)</f>
        <v>0.17997947908845238</v>
      </c>
      <c r="L15" s="26"/>
    </row>
    <row r="16" spans="2:12" x14ac:dyDescent="0.25">
      <c r="C16" s="29"/>
    </row>
    <row r="17" spans="2:12" x14ac:dyDescent="0.25">
      <c r="B17" s="7" t="s">
        <v>115</v>
      </c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2:12" x14ac:dyDescent="0.25">
      <c r="B18" s="10" t="s">
        <v>116</v>
      </c>
      <c r="C18" s="16" t="s">
        <v>64</v>
      </c>
      <c r="D18" s="17">
        <v>0</v>
      </c>
      <c r="E18" s="22">
        <f t="array" ref="E18">IF($D18="","",$D18*INDEX(Допущения!$C$25:$G$30,MATCH($C18,Допущения!$B$25:$B$30,0),1))</f>
        <v>0</v>
      </c>
      <c r="F18" s="22">
        <f t="array" ref="F18">IF($D18="","",$D18*INDEX(Допущения!$C$25:$G$30,MATCH($C18,Допущения!$B$25:$B$30,0),2))</f>
        <v>0</v>
      </c>
      <c r="G18" s="22">
        <f t="array" ref="G18">IF($D18="","",$D18*INDEX(Допущения!$C$25:$G$30,MATCH($C18,Допущения!$B$25:$B$30,0),3))</f>
        <v>0</v>
      </c>
      <c r="H18" s="22">
        <f t="array" ref="H18">IF($D18="","",$D18*INDEX(Допущения!$C$25:$G$30,MATCH($C18,Допущения!$B$25:$B$30,0),4))</f>
        <v>0</v>
      </c>
      <c r="I18" s="22">
        <f t="array" ref="I18">IF($D18="","",$D18*INDEX(Допущения!$C$25:$G$30,MATCH($C18,Допущения!$B$25:$B$30,0),5))</f>
        <v>0</v>
      </c>
      <c r="J18" s="22">
        <f t="shared" ref="J18:J23" si="2">SUM(E18:I18)</f>
        <v>0</v>
      </c>
      <c r="K18" s="23"/>
      <c r="L18" s="24" t="s">
        <v>117</v>
      </c>
    </row>
    <row r="19" spans="2:12" x14ac:dyDescent="0.25">
      <c r="B19" s="10" t="s">
        <v>118</v>
      </c>
      <c r="C19" s="16" t="s">
        <v>90</v>
      </c>
      <c r="D19" s="17">
        <v>0</v>
      </c>
      <c r="E19" s="22">
        <f t="array" ref="E19">IF($D19="","",$D19*INDEX(Допущения!$C$25:$G$30,MATCH($C19,Допущения!$B$25:$B$30,0),1))</f>
        <v>0</v>
      </c>
      <c r="F19" s="22">
        <f t="array" ref="F19">IF($D19="","",$D19*INDEX(Допущения!$C$25:$G$30,MATCH($C19,Допущения!$B$25:$B$30,0),2))</f>
        <v>0</v>
      </c>
      <c r="G19" s="22">
        <f t="array" ref="G19">IF($D19="","",$D19*INDEX(Допущения!$C$25:$G$30,MATCH($C19,Допущения!$B$25:$B$30,0),3))</f>
        <v>0</v>
      </c>
      <c r="H19" s="22">
        <f t="array" ref="H19">IF($D19="","",$D19*INDEX(Допущения!$C$25:$G$30,MATCH($C19,Допущения!$B$25:$B$30,0),4))</f>
        <v>0</v>
      </c>
      <c r="I19" s="22">
        <f t="array" ref="I19">IF($D19="","",$D19*INDEX(Допущения!$C$25:$G$30,MATCH($C19,Допущения!$B$25:$B$30,0),5))</f>
        <v>0</v>
      </c>
      <c r="J19" s="22">
        <f t="shared" si="2"/>
        <v>0</v>
      </c>
      <c r="K19" s="23"/>
      <c r="L19" s="24" t="s">
        <v>119</v>
      </c>
    </row>
    <row r="20" spans="2:12" x14ac:dyDescent="0.25">
      <c r="B20" s="10" t="s">
        <v>120</v>
      </c>
      <c r="C20" s="16" t="s">
        <v>64</v>
      </c>
      <c r="D20" s="17">
        <v>0</v>
      </c>
      <c r="E20" s="22">
        <f t="array" ref="E20">IF($D20="","",$D20*INDEX(Допущения!$C$25:$G$30,MATCH($C20,Допущения!$B$25:$B$30,0),1))</f>
        <v>0</v>
      </c>
      <c r="F20" s="22">
        <f t="array" ref="F20">IF($D20="","",$D20*INDEX(Допущения!$C$25:$G$30,MATCH($C20,Допущения!$B$25:$B$30,0),2))</f>
        <v>0</v>
      </c>
      <c r="G20" s="22">
        <f t="array" ref="G20">IF($D20="","",$D20*INDEX(Допущения!$C$25:$G$30,MATCH($C20,Допущения!$B$25:$B$30,0),3))</f>
        <v>0</v>
      </c>
      <c r="H20" s="22">
        <f t="array" ref="H20">IF($D20="","",$D20*INDEX(Допущения!$C$25:$G$30,MATCH($C20,Допущения!$B$25:$B$30,0),4))</f>
        <v>0</v>
      </c>
      <c r="I20" s="22">
        <f t="array" ref="I20">IF($D20="","",$D20*INDEX(Допущения!$C$25:$G$30,MATCH($C20,Допущения!$B$25:$B$30,0),5))</f>
        <v>0</v>
      </c>
      <c r="J20" s="22">
        <f t="shared" si="2"/>
        <v>0</v>
      </c>
      <c r="K20" s="23"/>
      <c r="L20" s="24" t="s">
        <v>121</v>
      </c>
    </row>
    <row r="21" spans="2:12" ht="15.75" customHeight="1" x14ac:dyDescent="0.25">
      <c r="B21" s="10" t="s">
        <v>122</v>
      </c>
      <c r="C21" s="16" t="s">
        <v>90</v>
      </c>
      <c r="D21" s="17">
        <v>600</v>
      </c>
      <c r="E21" s="22">
        <f t="array" ref="E21">IF($D21="","",$D21*INDEX(Допущения!$C$25:$G$30,MATCH($C21,Допущения!$B$25:$B$30,0),1))</f>
        <v>600</v>
      </c>
      <c r="F21" s="22">
        <f t="array" ref="F21">IF($D21="","",$D21*INDEX(Допущения!$C$25:$G$30,MATCH($C21,Допущения!$B$25:$B$30,0),2))</f>
        <v>648</v>
      </c>
      <c r="G21" s="22">
        <f t="array" ref="G21">IF($D21="","",$D21*INDEX(Допущения!$C$25:$G$30,MATCH($C21,Допущения!$B$25:$B$30,0),3))</f>
        <v>699.84</v>
      </c>
      <c r="H21" s="22">
        <f t="array" ref="H21">IF($D21="","",$D21*INDEX(Допущения!$C$25:$G$30,MATCH($C21,Допущения!$B$25:$B$30,0),4))</f>
        <v>755.82720000000006</v>
      </c>
      <c r="I21" s="22">
        <f t="array" ref="I21">IF($D21="","",$D21*INDEX(Допущения!$C$25:$G$30,MATCH($C21,Допущения!$B$25:$B$30,0),5))</f>
        <v>816.29337600000019</v>
      </c>
      <c r="J21" s="22">
        <f t="shared" si="2"/>
        <v>3519.9605760000004</v>
      </c>
      <c r="K21" s="23"/>
      <c r="L21" s="24" t="s">
        <v>123</v>
      </c>
    </row>
    <row r="22" spans="2:12" ht="15.75" customHeight="1" x14ac:dyDescent="0.25">
      <c r="B22" s="10" t="s">
        <v>124</v>
      </c>
      <c r="C22" s="16" t="s">
        <v>90</v>
      </c>
      <c r="D22" s="17">
        <v>167200</v>
      </c>
      <c r="E22" s="22">
        <f t="array" ref="E22">IF($D22="","",$D22*INDEX(Допущения!$C$25:$G$30,MATCH($C22,Допущения!$B$25:$B$30,0),1))</f>
        <v>167200</v>
      </c>
      <c r="F22" s="22">
        <f t="array" ref="F22">IF($D22="","",$D22*INDEX(Допущения!$C$25:$G$30,MATCH($C22,Допущения!$B$25:$B$30,0),2))</f>
        <v>180576</v>
      </c>
      <c r="G22" s="22">
        <f t="array" ref="G22">IF($D22="","",$D22*INDEX(Допущения!$C$25:$G$30,MATCH($C22,Допущения!$B$25:$B$30,0),3))</f>
        <v>195022.08000000002</v>
      </c>
      <c r="H22" s="22">
        <f t="array" ref="H22">IF($D22="","",$D22*INDEX(Допущения!$C$25:$G$30,MATCH($C22,Допущения!$B$25:$B$30,0),4))</f>
        <v>210623.84640000004</v>
      </c>
      <c r="I22" s="22">
        <f t="array" ref="I22">IF($D22="","",$D22*INDEX(Допущения!$C$25:$G$30,MATCH($C22,Допущения!$B$25:$B$30,0),5))</f>
        <v>227473.75411200005</v>
      </c>
      <c r="J22" s="22">
        <f t="shared" si="2"/>
        <v>980895.68051200011</v>
      </c>
      <c r="K22" s="23"/>
      <c r="L22" s="24" t="s">
        <v>125</v>
      </c>
    </row>
    <row r="23" spans="2:12" ht="15.75" customHeight="1" x14ac:dyDescent="0.25">
      <c r="B23" s="10"/>
      <c r="C23" s="16" t="s">
        <v>88</v>
      </c>
      <c r="D23" s="17">
        <v>0</v>
      </c>
      <c r="E23" s="22">
        <f t="array" ref="E23">IF($D23="","",$D23*INDEX(Допущения!$C$25:$G$30,MATCH($C23,Допущения!$B$25:$B$30,0),1))</f>
        <v>0</v>
      </c>
      <c r="F23" s="22">
        <f t="array" ref="F23">IF($D23="","",$D23*INDEX(Допущения!$C$25:$G$30,MATCH($C23,Допущения!$B$25:$B$30,0),2))</f>
        <v>0</v>
      </c>
      <c r="G23" s="22">
        <f t="array" ref="G23">IF($D23="","",$D23*INDEX(Допущения!$C$25:$G$30,MATCH($C23,Допущения!$B$25:$B$30,0),3))</f>
        <v>0</v>
      </c>
      <c r="H23" s="22">
        <f t="array" ref="H23">IF($D23="","",$D23*INDEX(Допущения!$C$25:$G$30,MATCH($C23,Допущения!$B$25:$B$30,0),4))</f>
        <v>0</v>
      </c>
      <c r="I23" s="22">
        <f t="array" ref="I23">IF($D23="","",$D23*INDEX(Допущения!$C$25:$G$30,MATCH($C23,Допущения!$B$25:$B$30,0),5))</f>
        <v>0</v>
      </c>
      <c r="J23" s="22">
        <f t="shared" si="2"/>
        <v>0</v>
      </c>
      <c r="K23" s="23"/>
      <c r="L23" s="24" t="s">
        <v>113</v>
      </c>
    </row>
    <row r="24" spans="2:12" ht="15.75" customHeight="1" x14ac:dyDescent="0.25">
      <c r="B24" s="25" t="s">
        <v>114</v>
      </c>
      <c r="C24" s="26"/>
      <c r="D24" s="26"/>
      <c r="E24" s="27">
        <f t="shared" ref="E24:J24" si="3">SUM(E18:E23)</f>
        <v>167800</v>
      </c>
      <c r="F24" s="27">
        <f t="shared" si="3"/>
        <v>181224</v>
      </c>
      <c r="G24" s="27">
        <f t="shared" si="3"/>
        <v>195721.92</v>
      </c>
      <c r="H24" s="27">
        <f t="shared" si="3"/>
        <v>211379.67360000004</v>
      </c>
      <c r="I24" s="27">
        <f t="shared" si="3"/>
        <v>228290.04748800004</v>
      </c>
      <c r="J24" s="27">
        <f t="shared" si="3"/>
        <v>984415.64108800015</v>
      </c>
      <c r="K24" s="28">
        <f>IFERROR(J24/$J$51,0)</f>
        <v>1.9739960093125911E-2</v>
      </c>
      <c r="L24" s="26"/>
    </row>
    <row r="25" spans="2:12" ht="15.75" customHeight="1" x14ac:dyDescent="0.25">
      <c r="C25" s="29"/>
    </row>
    <row r="26" spans="2:12" ht="15.75" customHeight="1" x14ac:dyDescent="0.25">
      <c r="B26" s="7" t="s">
        <v>126</v>
      </c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2:12" ht="15.75" customHeight="1" x14ac:dyDescent="0.25">
      <c r="B27" s="10" t="s">
        <v>127</v>
      </c>
      <c r="C27" s="16" t="s">
        <v>97</v>
      </c>
      <c r="D27" s="17">
        <v>137500</v>
      </c>
      <c r="E27" s="22">
        <f t="array" ref="E27">IF($D27="","",$D27*INDEX(Допущения!$C$25:$G$30,MATCH($C27,Допущения!$B$25:$B$30,0),1))</f>
        <v>137500</v>
      </c>
      <c r="F27" s="22">
        <f t="array" ref="F27">IF($D27="","",$D27*INDEX(Допущения!$C$25:$G$30,MATCH($C27,Допущения!$B$25:$B$30,0),2))</f>
        <v>858000</v>
      </c>
      <c r="G27" s="22">
        <f t="array" ref="G27">IF($D27="","",$D27*INDEX(Допущения!$C$25:$G$30,MATCH($C27,Допущения!$B$25:$B$30,0),3))</f>
        <v>2970000</v>
      </c>
      <c r="H27" s="22">
        <f t="array" ref="H27">IF($D27="","",$D27*INDEX(Допущения!$C$25:$G$30,MATCH($C27,Допущения!$B$25:$B$30,0),4))</f>
        <v>6160000</v>
      </c>
      <c r="I27" s="22">
        <f t="array" ref="I27">IF($D27="","",$D27*INDEX(Допущения!$C$25:$G$30,MATCH($C27,Допущения!$B$25:$B$30,0),5))</f>
        <v>9570000</v>
      </c>
      <c r="J27" s="22">
        <f t="shared" ref="J27:J31" si="4">SUM(E27:I27)</f>
        <v>19695500</v>
      </c>
      <c r="K27" s="23"/>
      <c r="L27" s="24" t="s">
        <v>128</v>
      </c>
    </row>
    <row r="28" spans="2:12" ht="15.75" customHeight="1" x14ac:dyDescent="0.25">
      <c r="B28" s="10" t="s">
        <v>129</v>
      </c>
      <c r="C28" s="16" t="s">
        <v>95</v>
      </c>
      <c r="D28" s="17">
        <v>18000</v>
      </c>
      <c r="E28" s="22">
        <f t="array" ref="E28">IF($D28="","",$D28*INDEX(Допущения!$C$25:$G$30,MATCH($C28,Допущения!$B$25:$B$30,0),1))</f>
        <v>18000</v>
      </c>
      <c r="F28" s="22">
        <f t="array" ref="F28">IF($D28="","",$D28*INDEX(Допущения!$C$25:$G$30,MATCH($C28,Допущения!$B$25:$B$30,0),2))</f>
        <v>108000</v>
      </c>
      <c r="G28" s="22">
        <f t="array" ref="G28">IF($D28="","",$D28*INDEX(Допущения!$C$25:$G$30,MATCH($C28,Допущения!$B$25:$B$30,0),3))</f>
        <v>360000</v>
      </c>
      <c r="H28" s="22">
        <f t="array" ref="H28">IF($D28="","",$D28*INDEX(Допущения!$C$25:$G$30,MATCH($C28,Допущения!$B$25:$B$30,0),4))</f>
        <v>720000</v>
      </c>
      <c r="I28" s="22">
        <f t="array" ref="I28">IF($D28="","",$D28*INDEX(Допущения!$C$25:$G$30,MATCH($C28,Допущения!$B$25:$B$30,0),5))</f>
        <v>1080000</v>
      </c>
      <c r="J28" s="22">
        <f t="shared" si="4"/>
        <v>2286000</v>
      </c>
      <c r="K28" s="23"/>
      <c r="L28" s="24" t="s">
        <v>130</v>
      </c>
    </row>
    <row r="29" spans="2:12" ht="15.75" customHeight="1" x14ac:dyDescent="0.25">
      <c r="B29" s="10" t="s">
        <v>131</v>
      </c>
      <c r="C29" s="16" t="s">
        <v>95</v>
      </c>
      <c r="D29" s="17">
        <v>7200</v>
      </c>
      <c r="E29" s="22">
        <f t="array" ref="E29">IF($D29="","",$D29*INDEX(Допущения!$C$25:$G$30,MATCH($C29,Допущения!$B$25:$B$30,0),1))</f>
        <v>7200</v>
      </c>
      <c r="F29" s="22">
        <f t="array" ref="F29">IF($D29="","",$D29*INDEX(Допущения!$C$25:$G$30,MATCH($C29,Допущения!$B$25:$B$30,0),2))</f>
        <v>43200</v>
      </c>
      <c r="G29" s="22">
        <f t="array" ref="G29">IF($D29="","",$D29*INDEX(Допущения!$C$25:$G$30,MATCH($C29,Допущения!$B$25:$B$30,0),3))</f>
        <v>144000</v>
      </c>
      <c r="H29" s="22">
        <f t="array" ref="H29">IF($D29="","",$D29*INDEX(Допущения!$C$25:$G$30,MATCH($C29,Допущения!$B$25:$B$30,0),4))</f>
        <v>288000</v>
      </c>
      <c r="I29" s="22">
        <f t="array" ref="I29">IF($D29="","",$D29*INDEX(Допущения!$C$25:$G$30,MATCH($C29,Допущения!$B$25:$B$30,0),5))</f>
        <v>432000</v>
      </c>
      <c r="J29" s="22">
        <f t="shared" si="4"/>
        <v>914400</v>
      </c>
      <c r="K29" s="23"/>
      <c r="L29" s="24" t="s">
        <v>132</v>
      </c>
    </row>
    <row r="30" spans="2:12" ht="15.75" customHeight="1" x14ac:dyDescent="0.25">
      <c r="B30" s="10" t="s">
        <v>133</v>
      </c>
      <c r="C30" s="16" t="s">
        <v>95</v>
      </c>
      <c r="D30" s="17">
        <f>Допущения!C8*0.1</f>
        <v>30000</v>
      </c>
      <c r="E30" s="22">
        <f t="array" ref="E30">IF($D30="","",$D30*INDEX(Допущения!$C$25:$G$30,MATCH($C30,Допущения!$B$25:$B$30,0),1))</f>
        <v>30000</v>
      </c>
      <c r="F30" s="22">
        <f t="array" ref="F30">IF($D30="","",$D30*INDEX(Допущения!$C$25:$G$30,MATCH($C30,Допущения!$B$25:$B$30,0),2))</f>
        <v>180000</v>
      </c>
      <c r="G30" s="22">
        <f t="array" ref="G30">IF($D30="","",$D30*INDEX(Допущения!$C$25:$G$30,MATCH($C30,Допущения!$B$25:$B$30,0),3))</f>
        <v>600000</v>
      </c>
      <c r="H30" s="22">
        <f t="array" ref="H30">IF($D30="","",$D30*INDEX(Допущения!$C$25:$G$30,MATCH($C30,Допущения!$B$25:$B$30,0),4))</f>
        <v>1200000</v>
      </c>
      <c r="I30" s="22">
        <f t="array" ref="I30">IF($D30="","",$D30*INDEX(Допущения!$C$25:$G$30,MATCH($C30,Допущения!$B$25:$B$30,0),5))</f>
        <v>1800000</v>
      </c>
      <c r="J30" s="22">
        <f t="shared" si="4"/>
        <v>3810000</v>
      </c>
      <c r="K30" s="23"/>
      <c r="L30" s="24" t="s">
        <v>134</v>
      </c>
    </row>
    <row r="31" spans="2:12" ht="15.75" customHeight="1" x14ac:dyDescent="0.25">
      <c r="B31" s="10"/>
      <c r="C31" s="16" t="s">
        <v>88</v>
      </c>
      <c r="D31" s="17">
        <v>0</v>
      </c>
      <c r="E31" s="22">
        <f t="array" ref="E31">IF($D31="","",$D31*INDEX(Допущения!$C$25:$G$30,MATCH($C31,Допущения!$B$25:$B$30,0),1))</f>
        <v>0</v>
      </c>
      <c r="F31" s="22">
        <f t="array" ref="F31">IF($D31="","",$D31*INDEX(Допущения!$C$25:$G$30,MATCH($C31,Допущения!$B$25:$B$30,0),2))</f>
        <v>0</v>
      </c>
      <c r="G31" s="22">
        <f t="array" ref="G31">IF($D31="","",$D31*INDEX(Допущения!$C$25:$G$30,MATCH($C31,Допущения!$B$25:$B$30,0),3))</f>
        <v>0</v>
      </c>
      <c r="H31" s="22">
        <f t="array" ref="H31">IF($D31="","",$D31*INDEX(Допущения!$C$25:$G$30,MATCH($C31,Допущения!$B$25:$B$30,0),4))</f>
        <v>0</v>
      </c>
      <c r="I31" s="22">
        <f t="array" ref="I31">IF($D31="","",$D31*INDEX(Допущения!$C$25:$G$30,MATCH($C31,Допущения!$B$25:$B$30,0),5))</f>
        <v>0</v>
      </c>
      <c r="J31" s="22">
        <f t="shared" si="4"/>
        <v>0</v>
      </c>
      <c r="K31" s="23"/>
      <c r="L31" s="24" t="s">
        <v>113</v>
      </c>
    </row>
    <row r="32" spans="2:12" ht="15.75" customHeight="1" x14ac:dyDescent="0.25">
      <c r="B32" s="25" t="s">
        <v>114</v>
      </c>
      <c r="C32" s="26"/>
      <c r="D32" s="26"/>
      <c r="E32" s="27">
        <f t="shared" ref="E32:J32" si="5">SUM(E27:E31)</f>
        <v>192700</v>
      </c>
      <c r="F32" s="27">
        <f t="shared" si="5"/>
        <v>1189200</v>
      </c>
      <c r="G32" s="27">
        <f t="shared" si="5"/>
        <v>4074000</v>
      </c>
      <c r="H32" s="27">
        <f t="shared" si="5"/>
        <v>8368000</v>
      </c>
      <c r="I32" s="27">
        <f t="shared" si="5"/>
        <v>12882000</v>
      </c>
      <c r="J32" s="27">
        <f t="shared" si="5"/>
        <v>26705900</v>
      </c>
      <c r="K32" s="28">
        <f>IFERROR(J32/$J$51,0)</f>
        <v>0.53551912245966182</v>
      </c>
      <c r="L32" s="26"/>
    </row>
    <row r="33" spans="2:12" ht="15.75" customHeight="1" x14ac:dyDescent="0.25">
      <c r="C33" s="29"/>
    </row>
    <row r="34" spans="2:12" ht="15.75" customHeight="1" x14ac:dyDescent="0.25">
      <c r="B34" s="7" t="s">
        <v>135</v>
      </c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2:12" ht="15.75" customHeight="1" x14ac:dyDescent="0.25">
      <c r="B35" s="10" t="s">
        <v>136</v>
      </c>
      <c r="C35" s="16" t="s">
        <v>92</v>
      </c>
      <c r="D35" s="17">
        <v>660000</v>
      </c>
      <c r="E35" s="22">
        <f t="array" ref="E35">IF($D35="","",$D35*INDEX(Допущения!$C$25:$G$30,MATCH($C35,Допущения!$B$25:$B$30,0),1))</f>
        <v>660000</v>
      </c>
      <c r="F35" s="22">
        <f t="array" ref="F35">IF($D35="","",$D35*INDEX(Допущения!$C$25:$G$30,MATCH($C35,Допущения!$B$25:$B$30,0),2))</f>
        <v>739200.00000000012</v>
      </c>
      <c r="G35" s="22">
        <f t="array" ref="G35">IF($D35="","",$D35*INDEX(Допущения!$C$25:$G$30,MATCH($C35,Допущения!$B$25:$B$30,0),3))</f>
        <v>827904.00000000012</v>
      </c>
      <c r="H35" s="22">
        <f t="array" ref="H35">IF($D35="","",$D35*INDEX(Допущения!$C$25:$G$30,MATCH($C35,Допущения!$B$25:$B$30,0),4))</f>
        <v>927252.48000000021</v>
      </c>
      <c r="I35" s="22">
        <f t="array" ref="I35">IF($D35="","",$D35*INDEX(Допущения!$C$25:$G$30,MATCH($C35,Допущения!$B$25:$B$30,0),5))</f>
        <v>1038522.7776000004</v>
      </c>
      <c r="J35" s="22">
        <f t="shared" ref="J35:J39" si="6">SUM(E35:I35)</f>
        <v>4192879.2576000011</v>
      </c>
      <c r="K35" s="23"/>
      <c r="L35" s="24" t="s">
        <v>137</v>
      </c>
    </row>
    <row r="36" spans="2:12" ht="15.75" customHeight="1" x14ac:dyDescent="0.25">
      <c r="B36" s="10" t="s">
        <v>138</v>
      </c>
      <c r="C36" s="16" t="s">
        <v>92</v>
      </c>
      <c r="D36" s="17">
        <v>180000</v>
      </c>
      <c r="E36" s="22">
        <f t="array" ref="E36">IF($D36="","",$D36*INDEX(Допущения!$C$25:$G$30,MATCH($C36,Допущения!$B$25:$B$30,0),1))</f>
        <v>180000</v>
      </c>
      <c r="F36" s="22">
        <f t="array" ref="F36">IF($D36="","",$D36*INDEX(Допущения!$C$25:$G$30,MATCH($C36,Допущения!$B$25:$B$30,0),2))</f>
        <v>201600.00000000003</v>
      </c>
      <c r="G36" s="22">
        <f t="array" ref="G36">IF($D36="","",$D36*INDEX(Допущения!$C$25:$G$30,MATCH($C36,Допущения!$B$25:$B$30,0),3))</f>
        <v>225792.00000000003</v>
      </c>
      <c r="H36" s="22">
        <f t="array" ref="H36">IF($D36="","",$D36*INDEX(Допущения!$C$25:$G$30,MATCH($C36,Допущения!$B$25:$B$30,0),4))</f>
        <v>252887.04000000007</v>
      </c>
      <c r="I36" s="22">
        <f t="array" ref="I36">IF($D36="","",$D36*INDEX(Допущения!$C$25:$G$30,MATCH($C36,Допущения!$B$25:$B$30,0),5))</f>
        <v>283233.48480000009</v>
      </c>
      <c r="J36" s="22">
        <f t="shared" si="6"/>
        <v>1143512.5248000002</v>
      </c>
      <c r="K36" s="23"/>
      <c r="L36" s="24" t="s">
        <v>139</v>
      </c>
    </row>
    <row r="37" spans="2:12" ht="15.75" customHeight="1" x14ac:dyDescent="0.25">
      <c r="B37" s="10" t="s">
        <v>140</v>
      </c>
      <c r="C37" s="16" t="s">
        <v>92</v>
      </c>
      <c r="D37" s="17">
        <v>12000</v>
      </c>
      <c r="E37" s="22">
        <f t="array" ref="E37">IF($D37="","",$D37*INDEX(Допущения!$C$25:$G$30,MATCH($C37,Допущения!$B$25:$B$30,0),1))</f>
        <v>12000</v>
      </c>
      <c r="F37" s="22">
        <f t="array" ref="F37">IF($D37="","",$D37*INDEX(Допущения!$C$25:$G$30,MATCH($C37,Допущения!$B$25:$B$30,0),2))</f>
        <v>13440.000000000002</v>
      </c>
      <c r="G37" s="22">
        <f t="array" ref="G37">IF($D37="","",$D37*INDEX(Допущения!$C$25:$G$30,MATCH($C37,Допущения!$B$25:$B$30,0),3))</f>
        <v>15052.800000000003</v>
      </c>
      <c r="H37" s="22">
        <f t="array" ref="H37">IF($D37="","",$D37*INDEX(Допущения!$C$25:$G$30,MATCH($C37,Допущения!$B$25:$B$30,0),4))</f>
        <v>16859.136000000006</v>
      </c>
      <c r="I37" s="22">
        <f t="array" ref="I37">IF($D37="","",$D37*INDEX(Допущения!$C$25:$G$30,MATCH($C37,Допущения!$B$25:$B$30,0),5))</f>
        <v>18882.232320000006</v>
      </c>
      <c r="J37" s="22">
        <f t="shared" si="6"/>
        <v>76234.168320000012</v>
      </c>
      <c r="K37" s="23"/>
      <c r="L37" s="24" t="s">
        <v>141</v>
      </c>
    </row>
    <row r="38" spans="2:12" ht="15.75" customHeight="1" x14ac:dyDescent="0.25">
      <c r="B38" s="10" t="s">
        <v>142</v>
      </c>
      <c r="C38" s="16" t="s">
        <v>92</v>
      </c>
      <c r="D38" s="17">
        <v>24000</v>
      </c>
      <c r="E38" s="22">
        <f t="array" ref="E38">IF($D38="","",$D38*INDEX(Допущения!$C$25:$G$30,MATCH($C38,Допущения!$B$25:$B$30,0),1))</f>
        <v>24000</v>
      </c>
      <c r="F38" s="22">
        <f t="array" ref="F38">IF($D38="","",$D38*INDEX(Допущения!$C$25:$G$30,MATCH($C38,Допущения!$B$25:$B$30,0),2))</f>
        <v>26880.000000000004</v>
      </c>
      <c r="G38" s="22">
        <f t="array" ref="G38">IF($D38="","",$D38*INDEX(Допущения!$C$25:$G$30,MATCH($C38,Допущения!$B$25:$B$30,0),3))</f>
        <v>30105.600000000006</v>
      </c>
      <c r="H38" s="22">
        <f t="array" ref="H38">IF($D38="","",$D38*INDEX(Допущения!$C$25:$G$30,MATCH($C38,Допущения!$B$25:$B$30,0),4))</f>
        <v>33718.272000000012</v>
      </c>
      <c r="I38" s="22">
        <f t="array" ref="I38">IF($D38="","",$D38*INDEX(Допущения!$C$25:$G$30,MATCH($C38,Допущения!$B$25:$B$30,0),5))</f>
        <v>37764.464640000013</v>
      </c>
      <c r="J38" s="22">
        <f t="shared" si="6"/>
        <v>152468.33664000002</v>
      </c>
      <c r="K38" s="23"/>
      <c r="L38" s="24" t="s">
        <v>143</v>
      </c>
    </row>
    <row r="39" spans="2:12" ht="15.75" customHeight="1" x14ac:dyDescent="0.25">
      <c r="B39" s="10"/>
      <c r="C39" s="16" t="s">
        <v>88</v>
      </c>
      <c r="D39" s="17">
        <v>0</v>
      </c>
      <c r="E39" s="22">
        <f t="array" ref="E39">IF($D39="","",$D39*INDEX(Допущения!$C$25:$G$30,MATCH($C39,Допущения!$B$25:$B$30,0),1))</f>
        <v>0</v>
      </c>
      <c r="F39" s="22">
        <f t="array" ref="F39">IF($D39="","",$D39*INDEX(Допущения!$C$25:$G$30,MATCH($C39,Допущения!$B$25:$B$30,0),2))</f>
        <v>0</v>
      </c>
      <c r="G39" s="22">
        <f t="array" ref="G39">IF($D39="","",$D39*INDEX(Допущения!$C$25:$G$30,MATCH($C39,Допущения!$B$25:$B$30,0),3))</f>
        <v>0</v>
      </c>
      <c r="H39" s="22">
        <f t="array" ref="H39">IF($D39="","",$D39*INDEX(Допущения!$C$25:$G$30,MATCH($C39,Допущения!$B$25:$B$30,0),4))</f>
        <v>0</v>
      </c>
      <c r="I39" s="22">
        <f t="array" ref="I39">IF($D39="","",$D39*INDEX(Допущения!$C$25:$G$30,MATCH($C39,Допущения!$B$25:$B$30,0),5))</f>
        <v>0</v>
      </c>
      <c r="J39" s="22">
        <f t="shared" si="6"/>
        <v>0</v>
      </c>
      <c r="K39" s="23"/>
      <c r="L39" s="24" t="s">
        <v>113</v>
      </c>
    </row>
    <row r="40" spans="2:12" ht="15.75" customHeight="1" x14ac:dyDescent="0.25">
      <c r="B40" s="25" t="s">
        <v>114</v>
      </c>
      <c r="C40" s="26"/>
      <c r="D40" s="26"/>
      <c r="E40" s="27">
        <f t="shared" ref="E40:J40" si="7">SUM(E35:E39)</f>
        <v>876000</v>
      </c>
      <c r="F40" s="27">
        <f t="shared" si="7"/>
        <v>981120.00000000012</v>
      </c>
      <c r="G40" s="27">
        <f t="shared" si="7"/>
        <v>1098854.4000000004</v>
      </c>
      <c r="H40" s="27">
        <f t="shared" si="7"/>
        <v>1230716.9280000003</v>
      </c>
      <c r="I40" s="27">
        <f t="shared" si="7"/>
        <v>1378402.9593600002</v>
      </c>
      <c r="J40" s="27">
        <f t="shared" si="7"/>
        <v>5565094.2873600014</v>
      </c>
      <c r="K40" s="28">
        <f>IFERROR(J40/$J$51,0)</f>
        <v>0.11159385788055466</v>
      </c>
      <c r="L40" s="26"/>
    </row>
    <row r="41" spans="2:12" ht="15.75" customHeight="1" x14ac:dyDescent="0.25">
      <c r="C41" s="29"/>
    </row>
    <row r="42" spans="2:12" ht="15.75" customHeight="1" x14ac:dyDescent="0.25">
      <c r="B42" s="7" t="s">
        <v>144</v>
      </c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2:12" ht="15.75" customHeight="1" x14ac:dyDescent="0.25">
      <c r="B43" s="10" t="s">
        <v>145</v>
      </c>
      <c r="C43" s="16" t="s">
        <v>88</v>
      </c>
      <c r="D43" s="17">
        <v>15000</v>
      </c>
      <c r="E43" s="22">
        <f t="array" ref="E43">IF($D43="","",$D43*INDEX(Допущения!$C$25:$G$30,MATCH($C43,Допущения!$B$25:$B$30,0),1))</f>
        <v>15000</v>
      </c>
      <c r="F43" s="22">
        <f t="array" ref="F43">IF($D43="","",$D43*INDEX(Допущения!$C$25:$G$30,MATCH($C43,Допущения!$B$25:$B$30,0),2))</f>
        <v>15000</v>
      </c>
      <c r="G43" s="22">
        <f t="array" ref="G43">IF($D43="","",$D43*INDEX(Допущения!$C$25:$G$30,MATCH($C43,Допущения!$B$25:$B$30,0),3))</f>
        <v>15000</v>
      </c>
      <c r="H43" s="22">
        <f t="array" ref="H43">IF($D43="","",$D43*INDEX(Допущения!$C$25:$G$30,MATCH($C43,Допущения!$B$25:$B$30,0),4))</f>
        <v>15000</v>
      </c>
      <c r="I43" s="22">
        <f t="array" ref="I43">IF($D43="","",$D43*INDEX(Допущения!$C$25:$G$30,MATCH($C43,Допущения!$B$25:$B$30,0),5))</f>
        <v>15000</v>
      </c>
      <c r="J43" s="22">
        <f t="shared" ref="J43:J47" si="8">SUM(E43:I43)</f>
        <v>75000</v>
      </c>
      <c r="K43" s="23"/>
      <c r="L43" s="24" t="s">
        <v>146</v>
      </c>
    </row>
    <row r="44" spans="2:12" ht="15.75" customHeight="1" x14ac:dyDescent="0.25">
      <c r="B44" s="10" t="s">
        <v>147</v>
      </c>
      <c r="C44" s="16" t="s">
        <v>90</v>
      </c>
      <c r="D44" s="17">
        <v>10000</v>
      </c>
      <c r="E44" s="22">
        <f t="array" ref="E44">IF($D44="","",$D44*INDEX(Допущения!$C$25:$G$30,MATCH($C44,Допущения!$B$25:$B$30,0),1))</f>
        <v>10000</v>
      </c>
      <c r="F44" s="22">
        <f t="array" ref="F44">IF($D44="","",$D44*INDEX(Допущения!$C$25:$G$30,MATCH($C44,Допущения!$B$25:$B$30,0),2))</f>
        <v>10800</v>
      </c>
      <c r="G44" s="22">
        <f t="array" ref="G44">IF($D44="","",$D44*INDEX(Допущения!$C$25:$G$30,MATCH($C44,Допущения!$B$25:$B$30,0),3))</f>
        <v>11664.000000000002</v>
      </c>
      <c r="H44" s="22">
        <f t="array" ref="H44">IF($D44="","",$D44*INDEX(Допущения!$C$25:$G$30,MATCH($C44,Допущения!$B$25:$B$30,0),4))</f>
        <v>12597.12</v>
      </c>
      <c r="I44" s="22">
        <f t="array" ref="I44">IF($D44="","",$D44*INDEX(Допущения!$C$25:$G$30,MATCH($C44,Допущения!$B$25:$B$30,0),5))</f>
        <v>13604.889600000002</v>
      </c>
      <c r="J44" s="22">
        <f t="shared" si="8"/>
        <v>58666.009600000005</v>
      </c>
      <c r="K44" s="23"/>
      <c r="L44" s="24" t="s">
        <v>148</v>
      </c>
    </row>
    <row r="45" spans="2:12" ht="15.75" customHeight="1" x14ac:dyDescent="0.25">
      <c r="B45" s="10" t="s">
        <v>149</v>
      </c>
      <c r="C45" s="16" t="s">
        <v>88</v>
      </c>
      <c r="D45" s="17">
        <v>200000</v>
      </c>
      <c r="E45" s="22">
        <f t="array" ref="E45">IF($D45="","",$D45*INDEX(Допущения!$C$25:$G$30,MATCH($C45,Допущения!$B$25:$B$30,0),1))</f>
        <v>200000</v>
      </c>
      <c r="F45" s="22">
        <f t="array" ref="F45">IF($D45="","",$D45*INDEX(Допущения!$C$25:$G$30,MATCH($C45,Допущения!$B$25:$B$30,0),2))</f>
        <v>200000</v>
      </c>
      <c r="G45" s="22">
        <f t="array" ref="G45">IF($D45="","",$D45*INDEX(Допущения!$C$25:$G$30,MATCH($C45,Допущения!$B$25:$B$30,0),3))</f>
        <v>200000</v>
      </c>
      <c r="H45" s="22">
        <f t="array" ref="H45">IF($D45="","",$D45*INDEX(Допущения!$C$25:$G$30,MATCH($C45,Допущения!$B$25:$B$30,0),4))</f>
        <v>200000</v>
      </c>
      <c r="I45" s="22">
        <f t="array" ref="I45">IF($D45="","",$D45*INDEX(Допущения!$C$25:$G$30,MATCH($C45,Допущения!$B$25:$B$30,0),5))</f>
        <v>200000</v>
      </c>
      <c r="J45" s="22">
        <f t="shared" si="8"/>
        <v>1000000</v>
      </c>
      <c r="K45" s="23"/>
      <c r="L45" s="24" t="s">
        <v>150</v>
      </c>
    </row>
    <row r="46" spans="2:12" ht="15.75" customHeight="1" x14ac:dyDescent="0.25">
      <c r="B46" s="10" t="s">
        <v>151</v>
      </c>
      <c r="C46" s="16" t="s">
        <v>92</v>
      </c>
      <c r="D46" s="17">
        <v>0</v>
      </c>
      <c r="E46" s="22">
        <f t="array" ref="E46">IF($D46="","",$D46*INDEX(Допущения!$C$25:$G$30,MATCH($C46,Допущения!$B$25:$B$30,0),1))</f>
        <v>0</v>
      </c>
      <c r="F46" s="22">
        <f t="array" ref="F46">IF($D46="","",$D46*INDEX(Допущения!$C$25:$G$30,MATCH($C46,Допущения!$B$25:$B$30,0),2))</f>
        <v>0</v>
      </c>
      <c r="G46" s="22">
        <f t="array" ref="G46">IF($D46="","",$D46*INDEX(Допущения!$C$25:$G$30,MATCH($C46,Допущения!$B$25:$B$30,0),3))</f>
        <v>0</v>
      </c>
      <c r="H46" s="22">
        <f t="array" ref="H46">IF($D46="","",$D46*INDEX(Допущения!$C$25:$G$30,MATCH($C46,Допущения!$B$25:$B$30,0),4))</f>
        <v>0</v>
      </c>
      <c r="I46" s="22">
        <f t="array" ref="I46">IF($D46="","",$D46*INDEX(Допущения!$C$25:$G$30,MATCH($C46,Допущения!$B$25:$B$30,0),5))</f>
        <v>0</v>
      </c>
      <c r="J46" s="22">
        <f t="shared" si="8"/>
        <v>0</v>
      </c>
      <c r="K46" s="23"/>
      <c r="L46" s="24" t="s">
        <v>152</v>
      </c>
    </row>
    <row r="47" spans="2:12" ht="15.75" customHeight="1" x14ac:dyDescent="0.25">
      <c r="B47" s="10"/>
      <c r="C47" s="16" t="s">
        <v>88</v>
      </c>
      <c r="D47" s="17">
        <v>0</v>
      </c>
      <c r="E47" s="22">
        <f t="array" ref="E47">IF($D47="","",$D47*INDEX(Допущения!$C$25:$G$30,MATCH($C47,Допущения!$B$25:$B$30,0),1))</f>
        <v>0</v>
      </c>
      <c r="F47" s="22">
        <f t="array" ref="F47">IF($D47="","",$D47*INDEX(Допущения!$C$25:$G$30,MATCH($C47,Допущения!$B$25:$B$30,0),2))</f>
        <v>0</v>
      </c>
      <c r="G47" s="22">
        <f t="array" ref="G47">IF($D47="","",$D47*INDEX(Допущения!$C$25:$G$30,MATCH($C47,Допущения!$B$25:$B$30,0),3))</f>
        <v>0</v>
      </c>
      <c r="H47" s="22">
        <f t="array" ref="H47">IF($D47="","",$D47*INDEX(Допущения!$C$25:$G$30,MATCH($C47,Допущения!$B$25:$B$30,0),4))</f>
        <v>0</v>
      </c>
      <c r="I47" s="22">
        <f t="array" ref="I47">IF($D47="","",$D47*INDEX(Допущения!$C$25:$G$30,MATCH($C47,Допущения!$B$25:$B$30,0),5))</f>
        <v>0</v>
      </c>
      <c r="J47" s="22">
        <f t="shared" si="8"/>
        <v>0</v>
      </c>
      <c r="K47" s="23"/>
      <c r="L47" s="24" t="s">
        <v>113</v>
      </c>
    </row>
    <row r="48" spans="2:12" ht="15.75" customHeight="1" x14ac:dyDescent="0.25">
      <c r="B48" s="25" t="s">
        <v>114</v>
      </c>
      <c r="C48" s="26"/>
      <c r="D48" s="26"/>
      <c r="E48" s="27">
        <f t="shared" ref="E48:J48" si="9">SUM(E43:E47)</f>
        <v>225000</v>
      </c>
      <c r="F48" s="27">
        <f t="shared" si="9"/>
        <v>225800</v>
      </c>
      <c r="G48" s="27">
        <f t="shared" si="9"/>
        <v>226664</v>
      </c>
      <c r="H48" s="27">
        <f t="shared" si="9"/>
        <v>227597.12</v>
      </c>
      <c r="I48" s="27">
        <f t="shared" si="9"/>
        <v>228604.88959999999</v>
      </c>
      <c r="J48" s="27">
        <f t="shared" si="9"/>
        <v>1133666.0096</v>
      </c>
      <c r="K48" s="28">
        <f>IFERROR(J48/$J$51,0)</f>
        <v>2.2732797869509679E-2</v>
      </c>
      <c r="L48" s="26"/>
    </row>
    <row r="49" spans="2:12" ht="15.75" customHeight="1" x14ac:dyDescent="0.25">
      <c r="C49" s="29"/>
    </row>
    <row r="50" spans="2:12" ht="15.75" customHeight="1" x14ac:dyDescent="0.25">
      <c r="B50" s="14" t="s">
        <v>153</v>
      </c>
      <c r="C50" s="29"/>
      <c r="E50" s="30">
        <f>(E15+E24+E32+E40+E48)*Допущения!$C$17</f>
        <v>245197.92449999999</v>
      </c>
      <c r="F50" s="30">
        <f>(F15+F24+F32+F40+F48)*Допущения!$C$17</f>
        <v>485608.35846000002</v>
      </c>
      <c r="G50" s="30">
        <f>(G15+G24+G32+G40+G48)*Допущения!$C$17</f>
        <v>1084237.3471367999</v>
      </c>
      <c r="H50" s="30">
        <f>(H15+H24+H32+H40+H48)*Допущения!$C$17</f>
        <v>1912761.4613077436</v>
      </c>
      <c r="I50" s="30">
        <f>(I15+I24+I32+I40+I48)*Допущения!$C$17</f>
        <v>2776870.6797803636</v>
      </c>
      <c r="J50" s="22">
        <f t="shared" ref="J50:J51" si="10">SUM(E50:I50)</f>
        <v>6504675.7711849064</v>
      </c>
      <c r="L50" s="6" t="s">
        <v>154</v>
      </c>
    </row>
    <row r="51" spans="2:12" ht="15.75" customHeight="1" x14ac:dyDescent="0.25">
      <c r="B51" s="25" t="s">
        <v>155</v>
      </c>
      <c r="C51" s="29"/>
      <c r="E51" s="27">
        <f t="shared" ref="E51:I51" si="11">E15+E24+E32+E40+E48+E50</f>
        <v>1879850.7545</v>
      </c>
      <c r="F51" s="27">
        <f t="shared" si="11"/>
        <v>3722997.4148599999</v>
      </c>
      <c r="G51" s="27">
        <f t="shared" si="11"/>
        <v>8312486.3280488001</v>
      </c>
      <c r="H51" s="27">
        <f t="shared" si="11"/>
        <v>14664504.536692701</v>
      </c>
      <c r="I51" s="27">
        <f t="shared" si="11"/>
        <v>21289341.878316123</v>
      </c>
      <c r="J51" s="27">
        <f t="shared" si="10"/>
        <v>49869180.91241762</v>
      </c>
    </row>
    <row r="52" spans="2:12" ht="15.75" customHeight="1" x14ac:dyDescent="0.25">
      <c r="B52" s="7" t="s">
        <v>156</v>
      </c>
      <c r="C52" s="8"/>
      <c r="D52" s="8"/>
      <c r="E52" s="8"/>
      <c r="F52" s="8"/>
      <c r="G52" s="8"/>
      <c r="H52" s="8"/>
      <c r="I52" s="8"/>
      <c r="J52" s="8"/>
      <c r="K52" s="8"/>
      <c r="L52" s="8"/>
    </row>
    <row r="53" spans="2:12" ht="15.75" customHeight="1" x14ac:dyDescent="0.25">
      <c r="B53" s="10" t="s">
        <v>157</v>
      </c>
      <c r="E53" s="30">
        <f>(1-Допущения!$C$20)*525600*Допущения!$C$19*Допущения!$C$21</f>
        <v>630719.9999999305</v>
      </c>
      <c r="F53" s="30">
        <f>(1-Допущения!$C$20)*525600*Допущения!$C$19*Допущения!$C$21</f>
        <v>630719.9999999305</v>
      </c>
      <c r="G53" s="30">
        <f>(1-Допущения!$C$20)*525600*Допущения!$C$19*Допущения!$C$21</f>
        <v>630719.9999999305</v>
      </c>
      <c r="H53" s="30">
        <f>(1-Допущения!$C$20)*525600*Допущения!$C$19*Допущения!$C$21</f>
        <v>630719.9999999305</v>
      </c>
      <c r="I53" s="30">
        <f>(1-Допущения!$C$20)*525600*Допущения!$C$19*Допущения!$C$21</f>
        <v>630719.9999999305</v>
      </c>
      <c r="J53" s="22">
        <f t="shared" ref="J53:J54" si="12">SUM(E53:I53)</f>
        <v>3153599.9999996526</v>
      </c>
      <c r="L53" s="12" t="s">
        <v>158</v>
      </c>
    </row>
    <row r="54" spans="2:12" ht="15.75" customHeight="1" x14ac:dyDescent="0.25">
      <c r="B54" s="25" t="s">
        <v>159</v>
      </c>
      <c r="E54" s="27">
        <f t="shared" ref="E54:I54" si="13">E51+E53</f>
        <v>2510570.7544999304</v>
      </c>
      <c r="F54" s="27">
        <f t="shared" si="13"/>
        <v>4353717.4148599301</v>
      </c>
      <c r="G54" s="27">
        <f t="shared" si="13"/>
        <v>8943206.3280487303</v>
      </c>
      <c r="H54" s="27">
        <f t="shared" si="13"/>
        <v>15295224.536692632</v>
      </c>
      <c r="I54" s="27">
        <f t="shared" si="13"/>
        <v>21920061.878316052</v>
      </c>
      <c r="J54" s="27">
        <f t="shared" si="12"/>
        <v>53022780.912417278</v>
      </c>
    </row>
    <row r="55" spans="2:12" ht="15.75" customHeight="1" x14ac:dyDescent="0.25">
      <c r="B55" s="10" t="s">
        <v>160</v>
      </c>
      <c r="E55" s="31">
        <f>1/(1+Допущения!$C$16)^0</f>
        <v>1</v>
      </c>
      <c r="F55" s="31">
        <f>1/(1+Допущения!$C$16)^1</f>
        <v>0.83333333333333337</v>
      </c>
      <c r="G55" s="31">
        <f>1/(1+Допущения!$C$16)^2</f>
        <v>0.69444444444444442</v>
      </c>
      <c r="H55" s="31">
        <f>1/(1+Допущения!$C$16)^3</f>
        <v>0.57870370370370372</v>
      </c>
      <c r="I55" s="31">
        <f>1/(1+Допущения!$C$16)^4</f>
        <v>0.48225308641975312</v>
      </c>
    </row>
    <row r="56" spans="2:12" ht="15.75" customHeight="1" x14ac:dyDescent="0.25">
      <c r="B56" s="25" t="s">
        <v>161</v>
      </c>
      <c r="E56" s="27">
        <f t="shared" ref="E56:I56" si="14">E54*E55</f>
        <v>2510570.7544999304</v>
      </c>
      <c r="F56" s="27">
        <f t="shared" si="14"/>
        <v>3628097.8457166087</v>
      </c>
      <c r="G56" s="27">
        <f t="shared" si="14"/>
        <v>6210559.9500338398</v>
      </c>
      <c r="H56" s="27">
        <f t="shared" si="14"/>
        <v>8851403.0883637927</v>
      </c>
      <c r="I56" s="27">
        <f t="shared" si="14"/>
        <v>10571017.495329887</v>
      </c>
      <c r="J56" s="27">
        <f>SUM(E56:I56)</f>
        <v>31771649.133944057</v>
      </c>
    </row>
    <row r="57" spans="2:12" ht="15.75" customHeight="1" x14ac:dyDescent="0.25"/>
    <row r="58" spans="2:12" ht="15.75" customHeight="1" x14ac:dyDescent="0.25">
      <c r="B58" s="7" t="s">
        <v>162</v>
      </c>
      <c r="C58" s="8"/>
      <c r="D58" s="8"/>
      <c r="E58" s="8"/>
      <c r="F58" s="8"/>
      <c r="G58" s="8"/>
      <c r="H58" s="8"/>
      <c r="I58" s="8"/>
      <c r="J58" s="8"/>
      <c r="K58" s="8"/>
      <c r="L58" s="8"/>
    </row>
    <row r="59" spans="2:12" ht="15.75" customHeight="1" x14ac:dyDescent="0.25">
      <c r="B59" s="14" t="s">
        <v>163</v>
      </c>
      <c r="E59" s="47">
        <f>J51</f>
        <v>49869180.91241762</v>
      </c>
      <c r="F59" s="48"/>
      <c r="L59" s="12" t="s">
        <v>164</v>
      </c>
    </row>
    <row r="60" spans="2:12" ht="15.75" customHeight="1" x14ac:dyDescent="0.25">
      <c r="B60" s="14" t="s">
        <v>165</v>
      </c>
      <c r="E60" s="47">
        <f>J54</f>
        <v>53022780.912417278</v>
      </c>
      <c r="F60" s="48"/>
      <c r="L60" s="12" t="s">
        <v>166</v>
      </c>
    </row>
    <row r="61" spans="2:12" ht="15.75" customHeight="1" x14ac:dyDescent="0.25">
      <c r="B61" s="14" t="s">
        <v>167</v>
      </c>
      <c r="E61" s="47">
        <f>J56</f>
        <v>31771649.133944057</v>
      </c>
      <c r="F61" s="48"/>
      <c r="L61" s="12" t="s">
        <v>168</v>
      </c>
    </row>
    <row r="62" spans="2:12" ht="15.75" customHeight="1" x14ac:dyDescent="0.25">
      <c r="B62" s="14" t="s">
        <v>169</v>
      </c>
      <c r="E62" s="47">
        <f>J51/5</f>
        <v>9973836.1824835241</v>
      </c>
      <c r="F62" s="48"/>
      <c r="L62" s="12" t="s">
        <v>170</v>
      </c>
    </row>
    <row r="63" spans="2:12" ht="15.75" customHeight="1" x14ac:dyDescent="0.25">
      <c r="B63" s="14" t="s">
        <v>171</v>
      </c>
      <c r="E63" s="47">
        <f>E15/12</f>
        <v>14429.402499999998</v>
      </c>
      <c r="F63" s="48"/>
      <c r="L63" s="12" t="s">
        <v>172</v>
      </c>
    </row>
    <row r="64" spans="2:12" ht="15.75" customHeight="1" x14ac:dyDescent="0.25">
      <c r="B64" s="14" t="s">
        <v>173</v>
      </c>
      <c r="E64" s="49" t="str">
        <f>IF(E15/12&lt;=Допущения!$C$18,"В бюджете CFO","ПРЕВЫШЕНИЕ бюджета")</f>
        <v>ПРЕВЫШЕНИЕ бюджета</v>
      </c>
      <c r="F64" s="48"/>
      <c r="L64" s="12" t="s">
        <v>174</v>
      </c>
    </row>
    <row r="65" spans="2:12" ht="15.75" customHeight="1" x14ac:dyDescent="0.25">
      <c r="B65" s="14" t="s">
        <v>175</v>
      </c>
      <c r="E65" s="50">
        <f>IFERROR(J51/SUM(Допущения!$C$8:$G$8),0)</f>
        <v>1.3089023861526934</v>
      </c>
      <c r="F65" s="48"/>
      <c r="L65" s="12" t="s">
        <v>176</v>
      </c>
    </row>
    <row r="66" spans="2:12" ht="15.75" customHeight="1" x14ac:dyDescent="0.25">
      <c r="B66" s="14" t="s">
        <v>177</v>
      </c>
      <c r="E66" s="50">
        <f>IFERROR(I51/Допущения!$G$7,0)</f>
        <v>6.0826691080903208</v>
      </c>
      <c r="F66" s="48"/>
      <c r="L66" s="12" t="s">
        <v>178</v>
      </c>
    </row>
    <row r="67" spans="2:12" ht="15.75" customHeight="1" x14ac:dyDescent="0.25">
      <c r="B67" s="14" t="s">
        <v>179</v>
      </c>
      <c r="E67" s="51">
        <f>IFERROR(J51/SUM(Допущения!$C$10:$G$10),0)</f>
        <v>4.6420162815244921E-2</v>
      </c>
      <c r="F67" s="48"/>
      <c r="L67" s="12" t="s">
        <v>180</v>
      </c>
    </row>
    <row r="68" spans="2:12" ht="15.75" customHeight="1" x14ac:dyDescent="0.25">
      <c r="B68" s="14" t="s">
        <v>181</v>
      </c>
      <c r="E68" s="52">
        <f>IFERROR(J15/J51,0)</f>
        <v>0.17997947908845238</v>
      </c>
      <c r="F68" s="48"/>
      <c r="L68" s="12" t="s">
        <v>182</v>
      </c>
    </row>
    <row r="69" spans="2:12" ht="15.75" customHeight="1" x14ac:dyDescent="0.25">
      <c r="B69" s="14" t="s">
        <v>183</v>
      </c>
      <c r="E69" s="52">
        <f>IFERROR(J32/J51,0)</f>
        <v>0.53551912245966182</v>
      </c>
      <c r="F69" s="48"/>
      <c r="L69" s="12" t="s">
        <v>184</v>
      </c>
    </row>
    <row r="70" spans="2:12" ht="15.75" customHeight="1" x14ac:dyDescent="0.25">
      <c r="B70" s="14" t="s">
        <v>185</v>
      </c>
      <c r="E70" s="52">
        <f>IFERROR(J40/J51,0)</f>
        <v>0.11159385788055466</v>
      </c>
      <c r="F70" s="48"/>
      <c r="L70" s="12" t="s">
        <v>186</v>
      </c>
    </row>
    <row r="71" spans="2:12" ht="15.75" customHeight="1" x14ac:dyDescent="0.25"/>
    <row r="72" spans="2:12" ht="15.75" customHeight="1" x14ac:dyDescent="0.25">
      <c r="B72" s="38" t="s">
        <v>187</v>
      </c>
      <c r="C72" s="36"/>
      <c r="D72" s="36"/>
      <c r="E72" s="36"/>
      <c r="F72" s="36"/>
      <c r="G72" s="36"/>
      <c r="H72" s="36"/>
      <c r="I72" s="36"/>
      <c r="J72" s="36"/>
      <c r="K72" s="36"/>
      <c r="L72" s="36"/>
    </row>
    <row r="73" spans="2:12" ht="15" customHeight="1" x14ac:dyDescent="0.25">
      <c r="B73" s="39" t="s">
        <v>190</v>
      </c>
      <c r="C73" s="40"/>
      <c r="D73" s="40"/>
      <c r="E73" s="40"/>
      <c r="F73" s="40"/>
      <c r="G73" s="40"/>
      <c r="H73" s="40"/>
      <c r="I73" s="40"/>
      <c r="J73" s="40"/>
      <c r="K73" s="40"/>
      <c r="L73" s="41"/>
    </row>
    <row r="74" spans="2:12" ht="15.75" customHeight="1" x14ac:dyDescent="0.25">
      <c r="B74" s="42"/>
      <c r="C74" s="36"/>
      <c r="D74" s="36"/>
      <c r="E74" s="36"/>
      <c r="F74" s="36"/>
      <c r="G74" s="36"/>
      <c r="H74" s="36"/>
      <c r="I74" s="36"/>
      <c r="J74" s="36"/>
      <c r="K74" s="36"/>
      <c r="L74" s="43"/>
    </row>
    <row r="75" spans="2:12" ht="15.75" customHeight="1" x14ac:dyDescent="0.25">
      <c r="B75" s="44"/>
      <c r="C75" s="45"/>
      <c r="D75" s="45"/>
      <c r="E75" s="45"/>
      <c r="F75" s="45"/>
      <c r="G75" s="45"/>
      <c r="H75" s="45"/>
      <c r="I75" s="45"/>
      <c r="J75" s="45"/>
      <c r="K75" s="45"/>
      <c r="L75" s="46"/>
    </row>
    <row r="76" spans="2:12" ht="15.75" customHeight="1" x14ac:dyDescent="0.25"/>
    <row r="77" spans="2:12" ht="15.75" customHeight="1" x14ac:dyDescent="0.25"/>
    <row r="78" spans="2:12" ht="15.75" customHeight="1" x14ac:dyDescent="0.25"/>
    <row r="79" spans="2:12" ht="15.75" customHeight="1" x14ac:dyDescent="0.25"/>
    <row r="80" spans="2:12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4">
    <mergeCell ref="B72:L72"/>
    <mergeCell ref="B73:L75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</mergeCells>
  <dataValidations count="1">
    <dataValidation type="list" allowBlank="1" sqref="C6:C51" xr:uid="{00000000-0002-0000-0400-000000000000}">
      <formula1>"фикс,инфляция,ФОТ,пользователи,заказы,GMV"</formula1>
    </dataValidation>
  </dataValidation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Инструкция</vt:lpstr>
      <vt:lpstr>Допущения</vt:lpstr>
      <vt:lpstr>TCO-A</vt:lpstr>
      <vt:lpstr>TCO-B</vt:lpstr>
      <vt:lpstr>TCO-C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Andrei Grebennikov</cp:lastModifiedBy>
  <dcterms:created xsi:type="dcterms:W3CDTF">2026-08-24T07:50:39Z</dcterms:created>
  <dcterms:modified xsi:type="dcterms:W3CDTF">2026-09-22T15:57:51Z</dcterms:modified>
</cp:coreProperties>
</file>